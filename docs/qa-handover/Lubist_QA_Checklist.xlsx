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ecklist" sheetId="2" state="visible" r:id="rId2"/>
    <sheet name="Summary" sheetId="3" state="visible" r:id="rId3"/>
    <sheet name="Bug Log" sheetId="4" state="visible" r:id="rId4"/>
  </sheets>
  <definedNames>
    <definedName name="_xlnm._FilterDatabase" localSheetId="1" hidden="1">'Checklist'!$A$1:$M$59</definedName>
    <definedName name="_xlnm.Print_Titles" localSheetId="1">'Checklist'!$1:$1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%;-0%;-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1F3A5F"/>
      <sz val="14"/>
    </font>
    <font>
      <name val="Arial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Lubist – Web QA Checklist</t>
        </is>
      </c>
    </row>
    <row r="3">
      <c r="A3" s="2" t="inlineStr">
        <is>
          <t>Scope</t>
        </is>
      </c>
      <c r="B3" s="3" t="inlineStr">
        <is>
          <t>Website (customer, vendor portal, RM portal – Next.js) and the Admin Panel.</t>
        </is>
      </c>
    </row>
    <row r="4">
      <c r="A4" s="2" t="inlineStr">
        <is>
          <t>Where to test</t>
        </is>
      </c>
      <c r="B4" s="3" t="inlineStr">
        <is>
          <t>STAGING only. Never production – payments and emails are real there.</t>
        </is>
      </c>
    </row>
    <row r="5">
      <c r="A5" s="2" t="inlineStr">
        <is>
          <t>How to use</t>
        </is>
      </c>
      <c r="B5" s="3" t="inlineStr">
        <is>
          <t>Work top to bottom in 'Checklist'. Do the P1 rows first; the E2E rows are the most important.</t>
        </is>
      </c>
    </row>
    <row r="6">
      <c r="A6" s="2" t="inlineStr">
        <is>
          <t>Status column</t>
        </is>
      </c>
      <c r="B6" s="3" t="inlineStr">
        <is>
          <t>Pick from the dropdown: Not run / Pass / Fail / Blocked / N/A.</t>
        </is>
      </c>
    </row>
    <row r="7">
      <c r="A7" s="2" t="inlineStr">
        <is>
          <t>On Fail</t>
        </is>
      </c>
      <c r="B7" s="3" t="inlineStr">
        <is>
          <t>Add a row in 'Bug Log' and put its Bug ID in the checklist 'Bug ID / Notes' column.</t>
        </is>
      </c>
    </row>
    <row r="8">
      <c r="A8" s="2" t="inlineStr">
        <is>
          <t>Yellow cells</t>
        </is>
      </c>
      <c r="B8" s="3" t="inlineStr">
        <is>
          <t>Columns for you to fill in: Status, Tested on, Tester, Bug ID / Notes, Automate?</t>
        </is>
      </c>
    </row>
    <row r="9">
      <c r="A9" s="2" t="inlineStr">
        <is>
          <t>Priority</t>
        </is>
      </c>
      <c r="B9" s="3" t="inlineStr">
        <is>
          <t>P1 = must pass before release · P2 = important · P3 = nice to have.</t>
        </is>
      </c>
    </row>
    <row r="10">
      <c r="A10" s="2" t="inlineStr">
        <is>
          <t>Automate?</t>
        </is>
      </c>
      <c r="B10" s="3" t="inlineStr">
        <is>
          <t>Mark Yes on flows worth automating later (start with the E2E P1 rows).</t>
        </is>
      </c>
    </row>
    <row r="11">
      <c r="A11" s="2" t="inlineStr">
        <is>
          <t>Summary</t>
        </is>
      </c>
      <c r="B11" s="3" t="inlineStr">
        <is>
          <t>The 'Summary' tab updates automatically from the Status column.</t>
        </is>
      </c>
    </row>
    <row r="12">
      <c r="A12" s="2" t="inlineStr">
        <is>
          <t>Full guide</t>
        </is>
      </c>
      <c r="B12" s="3" t="inlineStr">
        <is>
          <t>See the Word document 'Lubist QA Handover Guide' for URLs, accounts, and known 'not a bug' behaviours.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16" customWidth="1" min="4" max="4"/>
    <col width="30" customWidth="1" min="5" max="5"/>
    <col width="60" customWidth="1" min="6" max="6"/>
    <col width="48" customWidth="1" min="7" max="7"/>
    <col width="9" customWidth="1" min="8" max="8"/>
    <col width="11" customWidth="1" min="9" max="9"/>
    <col width="12" customWidth="1" min="10" max="10"/>
    <col width="12" customWidth="1" min="11" max="11"/>
    <col width="26" customWidth="1" min="12" max="12"/>
    <col width="11" customWidth="1" min="13" max="13"/>
  </cols>
  <sheetData>
    <row r="1" ht="22" customHeight="1">
      <c r="A1" s="4" t="inlineStr">
        <is>
          <t>ID</t>
        </is>
      </c>
      <c r="B1" s="4" t="inlineStr">
        <is>
          <t>Module</t>
        </is>
      </c>
      <c r="C1" s="4" t="inlineStr">
        <is>
          <t>App</t>
        </is>
      </c>
      <c r="D1" s="4" t="inlineStr">
        <is>
          <t>Role(s)</t>
        </is>
      </c>
      <c r="E1" s="4" t="inlineStr">
        <is>
          <t>Scenario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Status</t>
        </is>
      </c>
      <c r="J1" s="4" t="inlineStr">
        <is>
          <t>Tested on</t>
        </is>
      </c>
      <c r="K1" s="4" t="inlineStr">
        <is>
          <t>Tester</t>
        </is>
      </c>
      <c r="L1" s="4" t="inlineStr">
        <is>
          <t>Bug ID / Notes</t>
        </is>
      </c>
      <c r="M1" s="4" t="inlineStr">
        <is>
          <t>Automate?</t>
        </is>
      </c>
    </row>
    <row r="2">
      <c r="A2" s="5" t="inlineStr">
        <is>
          <t>EX-00</t>
        </is>
      </c>
      <c r="B2" s="5" t="inlineStr">
        <is>
          <t>(example)</t>
        </is>
      </c>
      <c r="C2" s="5" t="inlineStr">
        <is>
          <t>Website</t>
        </is>
      </c>
      <c r="D2" s="5" t="inlineStr">
        <is>
          <t>Customer</t>
        </is>
      </c>
      <c r="E2" s="5" t="inlineStr">
        <is>
          <t>Example: how to fill a row</t>
        </is>
      </c>
      <c r="F2" s="5" t="inlineStr">
        <is>
          <t>Steps are already written – just follow them.</t>
        </is>
      </c>
      <c r="G2" s="5" t="inlineStr">
        <is>
          <t>Compare what you see with this column.</t>
        </is>
      </c>
      <c r="H2" s="5" t="inlineStr">
        <is>
          <t>P1</t>
        </is>
      </c>
      <c r="I2" s="5" t="inlineStr">
        <is>
          <t>Fail</t>
        </is>
      </c>
      <c r="J2" s="5" t="inlineStr">
        <is>
          <t>2026-09-22</t>
        </is>
      </c>
      <c r="K2" s="5" t="inlineStr">
        <is>
          <t>Tester name</t>
        </is>
      </c>
      <c r="L2" s="5" t="inlineStr">
        <is>
          <t>BUG-001 – total wrong after coupon</t>
        </is>
      </c>
      <c r="M2" s="5" t="inlineStr">
        <is>
          <t>Yes</t>
        </is>
      </c>
    </row>
    <row r="3">
      <c r="A3" s="6" t="inlineStr">
        <is>
          <t>E2E-01</t>
        </is>
      </c>
      <c r="B3" s="6" t="inlineStr">
        <is>
          <t>End-to-end flows</t>
        </is>
      </c>
      <c r="C3" s="6" t="inlineStr">
        <is>
          <t>RM Portal + Admin + Vendor Portal</t>
        </is>
      </c>
      <c r="D3" s="6" t="inlineStr">
        <is>
          <t>RM → Admin → Vendor</t>
        </is>
      </c>
      <c r="E3" s="7" t="inlineStr">
        <is>
          <t>New salon onboarding (full chain)</t>
        </is>
      </c>
      <c r="F3" s="6" t="inlineStr">
        <is>
          <t>1. RM logs in (/login/rm) → Add Salon → fill all steps with a REAL owner email you can open → Submit.
2. Admin Panel → Pending Salons → open the request → Approve.
3. Open owner inbox → click registration link → set password.
4. Vendor logs in (/login/vendor) → pay registration fee (Razorpay test).
5. Open the website /salons as a guest.</t>
        </is>
      </c>
      <c r="G3" s="6" t="inlineStr">
        <is>
          <t>Request shows in RM Submissions as Pending, then Approved. Owner gets the email. After payment, vendor dashboard unlocks. Salon appears in public salon list.</t>
        </is>
      </c>
      <c r="H3" s="6" t="inlineStr">
        <is>
          <t>P1</t>
        </is>
      </c>
      <c r="I3" s="8" t="inlineStr">
        <is>
          <t>Not run</t>
        </is>
      </c>
      <c r="J3" s="9" t="n"/>
      <c r="K3" s="8" t="n"/>
      <c r="L3" s="8" t="n"/>
      <c r="M3" s="8" t="n"/>
    </row>
    <row r="4">
      <c r="A4" s="6" t="inlineStr">
        <is>
          <t>E2E-02</t>
        </is>
      </c>
      <c r="B4" s="6" t="inlineStr">
        <is>
          <t>End-to-end flows</t>
        </is>
      </c>
      <c r="C4" s="6" t="inlineStr">
        <is>
          <t>Admin Panel + RM Portal</t>
        </is>
      </c>
      <c r="D4" s="6" t="inlineStr">
        <is>
          <t>Admin → RM</t>
        </is>
      </c>
      <c r="E4" s="7" t="inlineStr">
        <is>
          <t>Admin creates a Relationship Manager</t>
        </is>
      </c>
      <c r="F4" s="6" t="inlineStr">
        <is>
          <t>1. Admin Panel → Users → Create User, role = Relationship Manager.
2. Check RM Management page.
3. Log in as the new RM at /login/rm.</t>
        </is>
      </c>
      <c r="G4" s="6" t="inlineStr">
        <is>
          <t>RM appears in RM Management. RM can log in and sees RM dashboard (not customer/vendor pages).</t>
        </is>
      </c>
      <c r="H4" s="6" t="inlineStr">
        <is>
          <t>P1</t>
        </is>
      </c>
      <c r="I4" s="8" t="inlineStr">
        <is>
          <t>Not run</t>
        </is>
      </c>
      <c r="J4" s="9" t="n"/>
      <c r="K4" s="8" t="n"/>
      <c r="L4" s="8" t="n"/>
      <c r="M4" s="8" t="n"/>
    </row>
    <row r="5">
      <c r="A5" s="6" t="inlineStr">
        <is>
          <t>E2E-03</t>
        </is>
      </c>
      <c r="B5" s="6" t="inlineStr">
        <is>
          <t>End-to-end flows</t>
        </is>
      </c>
      <c r="C5" s="6" t="inlineStr">
        <is>
          <t>Website + Vendor Portal + Admin</t>
        </is>
      </c>
      <c r="D5" s="6" t="inlineStr">
        <is>
          <t>Customer → Vendor → Admin</t>
        </is>
      </c>
      <c r="E5" s="7" t="inlineStr">
        <is>
          <t>Book a service and see it reach the vendor</t>
        </is>
      </c>
      <c r="F5" s="6" t="inlineStr">
        <is>
          <t>1. As vendor, make sure salon has active services.
2. As customer, open the salon → select service(s) → Book → pick date &amp; slot → add to cart.
3. Cart → Checkout → pay with Razorpay test.
4. Check /account/bookings.
5. As vendor, open Bookings → find it → Confirm → later Complete.
6. Customer refreshes /account/bookings. Admin → Appointments.</t>
        </is>
      </c>
      <c r="G5" s="6" t="inlineStr">
        <is>
          <t>Booking confirmation page shows correct salon/service/date/amount. Booking appears in vendor Bookings + dashboard 'Today' (if today). Status changes reflect for the customer. Admin sees it in Appointments.</t>
        </is>
      </c>
      <c r="H5" s="6" t="inlineStr">
        <is>
          <t>P1</t>
        </is>
      </c>
      <c r="I5" s="8" t="inlineStr">
        <is>
          <t>Not run</t>
        </is>
      </c>
      <c r="J5" s="9" t="n"/>
      <c r="K5" s="8" t="n"/>
      <c r="L5" s="8" t="n"/>
      <c r="M5" s="8" t="n"/>
    </row>
    <row r="6">
      <c r="A6" s="6" t="inlineStr">
        <is>
          <t>E2E-04</t>
        </is>
      </c>
      <c r="B6" s="6" t="inlineStr">
        <is>
          <t>End-to-end flows</t>
        </is>
      </c>
      <c r="C6" s="6" t="inlineStr">
        <is>
          <t>Website + Admin</t>
        </is>
      </c>
      <c r="D6" s="6" t="inlineStr">
        <is>
          <t>Customer → Admin</t>
        </is>
      </c>
      <c r="E6" s="7" t="inlineStr">
        <is>
          <t>Buy a product</t>
        </is>
      </c>
      <c r="F6" s="6" t="inlineStr">
        <is>
          <t>1. /products → open a product → Add to cart.
2. Product cart (/cart/products) → change quantity → Checkout → pay (Razorpay test).
3. Check /account/orders.
4. Admin Panel → Product Orders → update order status.</t>
        </is>
      </c>
      <c r="G6" s="6" t="inlineStr">
        <is>
          <t>Totals update with quantity. Order confirmation shown. Order listed in customer Orders and Admin Product Orders; status change visible to customer.</t>
        </is>
      </c>
      <c r="H6" s="6" t="inlineStr">
        <is>
          <t>P1</t>
        </is>
      </c>
      <c r="I6" s="8" t="inlineStr">
        <is>
          <t>Not run</t>
        </is>
      </c>
      <c r="J6" s="9" t="n"/>
      <c r="K6" s="8" t="n"/>
      <c r="L6" s="8" t="n"/>
      <c r="M6" s="8" t="n"/>
    </row>
    <row r="7">
      <c r="A7" s="6" t="inlineStr">
        <is>
          <t>E2E-05</t>
        </is>
      </c>
      <c r="B7" s="6" t="inlineStr">
        <is>
          <t>End-to-end flows</t>
        </is>
      </c>
      <c r="C7" s="6" t="inlineStr">
        <is>
          <t>Vendor Portal + Website</t>
        </is>
      </c>
      <c r="D7" s="6" t="inlineStr">
        <is>
          <t>Vendor → Customer</t>
        </is>
      </c>
      <c r="E7" s="7" t="inlineStr">
        <is>
          <t>Vendor coupon applied at checkout</t>
        </is>
      </c>
      <c r="F7" s="6" t="inlineStr">
        <is>
          <t>1. Vendor → Coupons → create coupon (e.g. 10% off, min order).
2. As customer, open that salon: offer should show on salon card/detail.
3. Add services to cart → apply code → checkout.
4. Vendor deactivates coupon → customer tries again.</t>
        </is>
      </c>
      <c r="G7" s="6" t="inlineStr">
        <is>
          <t>Discount matches coupon rules (min order, max discount). Amount charged in Razorpay = discounted total. Deactivated coupon is rejected with a clear message.</t>
        </is>
      </c>
      <c r="H7" s="6" t="inlineStr">
        <is>
          <t>P1</t>
        </is>
      </c>
      <c r="I7" s="8" t="inlineStr">
        <is>
          <t>Not run</t>
        </is>
      </c>
      <c r="J7" s="9" t="n"/>
      <c r="K7" s="8" t="n"/>
      <c r="L7" s="8" t="n"/>
      <c r="M7" s="8" t="n"/>
    </row>
    <row r="8">
      <c r="A8" s="6" t="inlineStr">
        <is>
          <t>E2E-06</t>
        </is>
      </c>
      <c r="B8" s="6" t="inlineStr">
        <is>
          <t>End-to-end flows</t>
        </is>
      </c>
      <c r="C8" s="6" t="inlineStr">
        <is>
          <t>Admin Panel + Website</t>
        </is>
      </c>
      <c r="D8" s="6" t="inlineStr">
        <is>
          <t>Admin → Customer</t>
        </is>
      </c>
      <c r="E8" s="7" t="inlineStr">
        <is>
          <t>Admin (platform) coupon</t>
        </is>
      </c>
      <c r="F8" s="6" t="inlineStr">
        <is>
          <t>1. Admin → Coupons → create coupon (try a first-time-user coupon too).
2. Customer applies it at cart.</t>
        </is>
      </c>
      <c r="G8" s="6" t="inlineStr">
        <is>
          <t>Coupon works on eligible orders only; first-time coupon rejected for a customer who already booked.</t>
        </is>
      </c>
      <c r="H8" s="6" t="inlineStr">
        <is>
          <t>P2</t>
        </is>
      </c>
      <c r="I8" s="8" t="inlineStr">
        <is>
          <t>Not run</t>
        </is>
      </c>
      <c r="J8" s="9" t="n"/>
      <c r="K8" s="8" t="n"/>
      <c r="L8" s="8" t="n"/>
      <c r="M8" s="8" t="n"/>
    </row>
    <row r="9">
      <c r="A9" s="6" t="inlineStr">
        <is>
          <t>E2E-07</t>
        </is>
      </c>
      <c r="B9" s="6" t="inlineStr">
        <is>
          <t>End-to-end flows</t>
        </is>
      </c>
      <c r="C9" s="6" t="inlineStr">
        <is>
          <t>Vendor Portal + Website</t>
        </is>
      </c>
      <c r="D9" s="6" t="inlineStr">
        <is>
          <t>Vendor → Customer</t>
        </is>
      </c>
      <c r="E9" s="7" t="inlineStr">
        <is>
          <t>Vendor runs a salon-wide promo</t>
        </is>
      </c>
      <c r="F9" s="6" t="inlineStr">
        <is>
          <t>1. Vendor → Run Promo → set % and dates → Apply.
2. Open the salon as customer.
3. Vendor applies a second promo.</t>
        </is>
      </c>
      <c r="G9" s="6" t="inlineStr">
        <is>
          <t>Discounted prices show on salon services. Old promo moves to 'Past Promotions'. Promo and coupon do not stack (bigger discount wins).</t>
        </is>
      </c>
      <c r="H9" s="6" t="inlineStr">
        <is>
          <t>P2</t>
        </is>
      </c>
      <c r="I9" s="8" t="inlineStr">
        <is>
          <t>Not run</t>
        </is>
      </c>
      <c r="J9" s="9" t="n"/>
      <c r="K9" s="8" t="n"/>
      <c r="L9" s="8" t="n"/>
      <c r="M9" s="8" t="n"/>
    </row>
    <row r="10">
      <c r="A10" s="6" t="inlineStr">
        <is>
          <t>E2E-08</t>
        </is>
      </c>
      <c r="B10" s="6" t="inlineStr">
        <is>
          <t>End-to-end flows</t>
        </is>
      </c>
      <c r="C10" s="6" t="inlineStr">
        <is>
          <t>Website + Vendor Portal</t>
        </is>
      </c>
      <c r="D10" s="6" t="inlineStr">
        <is>
          <t>Customer → Vendor</t>
        </is>
      </c>
      <c r="E10" s="7" t="inlineStr">
        <is>
          <t>Customer cancels a booking</t>
        </is>
      </c>
      <c r="F10" s="6" t="inlineStr">
        <is>
          <t>1. Customer → /account/bookings → Cancel an upcoming booking.
2. Vendor checks Bookings.</t>
        </is>
      </c>
      <c r="G10" s="6" t="inlineStr">
        <is>
          <t>Booking moves to Past/Cancelled for customer; vendor sees status Cancelled.</t>
        </is>
      </c>
      <c r="H10" s="6" t="inlineStr">
        <is>
          <t>P1</t>
        </is>
      </c>
      <c r="I10" s="8" t="inlineStr">
        <is>
          <t>Not run</t>
        </is>
      </c>
      <c r="J10" s="9" t="n"/>
      <c r="K10" s="8" t="n"/>
      <c r="L10" s="8" t="n"/>
      <c r="M10" s="8" t="n"/>
    </row>
    <row r="11">
      <c r="A11" s="6" t="inlineStr">
        <is>
          <t>E2E-09</t>
        </is>
      </c>
      <c r="B11" s="6" t="inlineStr">
        <is>
          <t>End-to-end flows</t>
        </is>
      </c>
      <c r="C11" s="6" t="inlineStr">
        <is>
          <t>RM Portal + Admin</t>
        </is>
      </c>
      <c r="D11" s="6" t="inlineStr">
        <is>
          <t>RM → Admin → RM</t>
        </is>
      </c>
      <c r="E11" s="7" t="inlineStr">
        <is>
          <t>Rejected salon request is fixed and resubmitted</t>
        </is>
      </c>
      <c r="F11" s="6" t="inlineStr">
        <is>
          <t>1. RM submits a salon.
2. Admin → Pending Salons → Reject with a reason.
3. RM → Submissions → Rejected tab → Edit &amp; Resubmit.
4. Admin approves.</t>
        </is>
      </c>
      <c r="G11" s="6" t="inlineStr">
        <is>
          <t>Rejection reason visible to RM. Resubmitted request returns to Pending. RM score/leaderboard updates after approval/rejection.</t>
        </is>
      </c>
      <c r="H11" s="6" t="inlineStr">
        <is>
          <t>P2</t>
        </is>
      </c>
      <c r="I11" s="8" t="inlineStr">
        <is>
          <t>Not run</t>
        </is>
      </c>
      <c r="J11" s="9" t="n"/>
      <c r="K11" s="8" t="n"/>
      <c r="L11" s="8" t="n"/>
      <c r="M11" s="8" t="n"/>
    </row>
    <row r="12">
      <c r="A12" s="6" t="inlineStr">
        <is>
          <t>E2E-10</t>
        </is>
      </c>
      <c r="B12" s="6" t="inlineStr">
        <is>
          <t>End-to-end flows</t>
        </is>
      </c>
      <c r="C12" s="6" t="inlineStr">
        <is>
          <t>RM Portal + Admin</t>
        </is>
      </c>
      <c r="D12" s="6" t="inlineStr">
        <is>
          <t>RM → Admin → Buyer</t>
        </is>
      </c>
      <c r="E12" s="7" t="inlineStr">
        <is>
          <t>Regular buyer (B2B) onboarding</t>
        </is>
      </c>
      <c r="F12" s="6" t="inlineStr">
        <is>
          <t>1. RM → Add Salon → choose Regular Buyer type → submit.
2. Admin approves ('Approve Buyer').
3. Buyer completes registration and logs in.</t>
        </is>
      </c>
      <c r="G12" s="6" t="inlineStr">
        <is>
          <t>Buyer sees 'Business Profile' (no public salon). Buyer does NOT appear in the public salon list. Buyer can buy products.</t>
        </is>
      </c>
      <c r="H12" s="6" t="inlineStr">
        <is>
          <t>P2</t>
        </is>
      </c>
      <c r="I12" s="8" t="inlineStr">
        <is>
          <t>Not run</t>
        </is>
      </c>
      <c r="J12" s="9" t="n"/>
      <c r="K12" s="8" t="n"/>
      <c r="L12" s="8" t="n"/>
      <c r="M12" s="8" t="n"/>
    </row>
    <row r="13">
      <c r="A13" s="6" t="inlineStr">
        <is>
          <t>E2E-11</t>
        </is>
      </c>
      <c r="B13" s="6" t="inlineStr">
        <is>
          <t>End-to-end flows</t>
        </is>
      </c>
      <c r="C13" s="6" t="inlineStr">
        <is>
          <t>Website + Admin</t>
        </is>
      </c>
      <c r="D13" s="6" t="inlineStr">
        <is>
          <t>Customer → Admin</t>
        </is>
      </c>
      <c r="E13" s="7" t="inlineStr">
        <is>
          <t>Review after completed booking</t>
        </is>
      </c>
      <c r="F13" s="6" t="inlineStr">
        <is>
          <t>1. Vendor marks a booking Completed.
2. Customer opens the feedback email link → submits rating/review.
3. Open the salon page and /account/reviews.</t>
        </is>
      </c>
      <c r="G13" s="6" t="inlineStr">
        <is>
          <t>Review saved once (link shows 'already submitted' on reopen). Review shows on salon page.</t>
        </is>
      </c>
      <c r="H13" s="6" t="inlineStr">
        <is>
          <t>P2</t>
        </is>
      </c>
      <c r="I13" s="8" t="inlineStr">
        <is>
          <t>Not run</t>
        </is>
      </c>
      <c r="J13" s="9" t="n"/>
      <c r="K13" s="8" t="n"/>
      <c r="L13" s="8" t="n"/>
      <c r="M13" s="8" t="n"/>
    </row>
    <row r="14">
      <c r="A14" s="6" t="inlineStr">
        <is>
          <t>E2E-12</t>
        </is>
      </c>
      <c r="B14" s="6" t="inlineStr">
        <is>
          <t>End-to-end flows</t>
        </is>
      </c>
      <c r="C14" s="6" t="inlineStr">
        <is>
          <t>Website + Admin</t>
        </is>
      </c>
      <c r="D14" s="6" t="inlineStr">
        <is>
          <t>Guest → Admin</t>
        </is>
      </c>
      <c r="E14" s="7" t="inlineStr">
        <is>
          <t>Partner-with-us and Careers leads</t>
        </is>
      </c>
      <c r="F14" s="6" t="inlineStr">
        <is>
          <t>1. Submit /partner-with-us form.
2. Submit a /careers application.
3. Admin → Partner Requests and Career Applications.</t>
        </is>
      </c>
      <c r="G14" s="6" t="inlineStr">
        <is>
          <t>Success message on the website. Both entries appear in Admin with the submitted details.</t>
        </is>
      </c>
      <c r="H14" s="6" t="inlineStr">
        <is>
          <t>P2</t>
        </is>
      </c>
      <c r="I14" s="8" t="inlineStr">
        <is>
          <t>Not run</t>
        </is>
      </c>
      <c r="J14" s="9" t="n"/>
      <c r="K14" s="8" t="n"/>
      <c r="L14" s="8" t="n"/>
      <c r="M14" s="8" t="n"/>
    </row>
    <row r="15">
      <c r="A15" s="6" t="inlineStr">
        <is>
          <t>E2E-13</t>
        </is>
      </c>
      <c r="B15" s="6" t="inlineStr">
        <is>
          <t>End-to-end flows</t>
        </is>
      </c>
      <c r="C15" s="6" t="inlineStr">
        <is>
          <t>Admin Panel + Website</t>
        </is>
      </c>
      <c r="D15" s="6" t="inlineStr">
        <is>
          <t>Admin → Guest</t>
        </is>
      </c>
      <c r="E15" s="7" t="inlineStr">
        <is>
          <t>Admin content shows on website (banners, blog)</t>
        </is>
      </c>
      <c r="F15" s="6" t="inlineStr">
        <is>
          <t>1. Admin → Banners → add an active banner.
2. Admin → Blog → publish a post with FAQs.
3. Open website home and /blog.</t>
        </is>
      </c>
      <c r="G15" s="6" t="inlineStr">
        <is>
          <t>Banner shows in home carousel; deactivating hides it. Blog post and FAQ section visible. (If blog is hidden, check Admin → Feature Flags.)</t>
        </is>
      </c>
      <c r="H15" s="6" t="inlineStr">
        <is>
          <t>P2</t>
        </is>
      </c>
      <c r="I15" s="8" t="inlineStr">
        <is>
          <t>Not run</t>
        </is>
      </c>
      <c r="J15" s="9" t="n"/>
      <c r="K15" s="8" t="n"/>
      <c r="L15" s="8" t="n"/>
      <c r="M15" s="8" t="n"/>
    </row>
    <row r="16">
      <c r="A16" s="10" t="inlineStr">
        <is>
          <t>AUTH-01</t>
        </is>
      </c>
      <c r="B16" s="10" t="inlineStr">
        <is>
          <t>Auth</t>
        </is>
      </c>
      <c r="C16" s="10" t="inlineStr">
        <is>
          <t>Website</t>
        </is>
      </c>
      <c r="D16" s="10" t="inlineStr">
        <is>
          <t>Guest</t>
        </is>
      </c>
      <c r="E16" s="11" t="inlineStr">
        <is>
          <t>Sign up with email</t>
        </is>
      </c>
      <c r="F16" s="10" t="inlineStr">
        <is>
          <t>Sign up with a real inbox → try to log in before confirming → confirm via email → log in.</t>
        </is>
      </c>
      <c r="G16" s="10" t="inlineStr">
        <is>
          <t>Before confirming: clear message asking to confirm email. After confirming: login works.</t>
        </is>
      </c>
      <c r="H16" s="10" t="inlineStr">
        <is>
          <t>P1</t>
        </is>
      </c>
      <c r="I16" s="8" t="inlineStr">
        <is>
          <t>Not run</t>
        </is>
      </c>
      <c r="J16" s="9" t="n"/>
      <c r="K16" s="8" t="n"/>
      <c r="L16" s="8" t="n"/>
      <c r="M16" s="8" t="n"/>
    </row>
    <row r="17">
      <c r="A17" s="10" t="inlineStr">
        <is>
          <t>AUTH-02</t>
        </is>
      </c>
      <c r="B17" s="10" t="inlineStr">
        <is>
          <t>Auth</t>
        </is>
      </c>
      <c r="C17" s="10" t="inlineStr">
        <is>
          <t>Website</t>
        </is>
      </c>
      <c r="D17" s="10" t="inlineStr">
        <is>
          <t>Customer</t>
        </is>
      </c>
      <c r="E17" s="11" t="inlineStr">
        <is>
          <t>Login / logout (email + password)</t>
        </is>
      </c>
      <c r="F17" s="10" t="inlineStr">
        <is>
          <t>Log in → refresh several pages → logout → press browser Back.</t>
        </is>
      </c>
      <c r="G17" s="10" t="inlineStr">
        <is>
          <t>Stays logged in on refresh with no flicker/flash of logged-out UI. After logout, account pages redirect to login.</t>
        </is>
      </c>
      <c r="H17" s="10" t="inlineStr">
        <is>
          <t>P1</t>
        </is>
      </c>
      <c r="I17" s="8" t="inlineStr">
        <is>
          <t>Not run</t>
        </is>
      </c>
      <c r="J17" s="9" t="n"/>
      <c r="K17" s="8" t="n"/>
      <c r="L17" s="8" t="n"/>
      <c r="M17" s="8" t="n"/>
    </row>
    <row r="18">
      <c r="A18" s="10" t="inlineStr">
        <is>
          <t>AUTH-03</t>
        </is>
      </c>
      <c r="B18" s="10" t="inlineStr">
        <is>
          <t>Auth</t>
        </is>
      </c>
      <c r="C18" s="10" t="inlineStr">
        <is>
          <t>Website</t>
        </is>
      </c>
      <c r="D18" s="10" t="inlineStr">
        <is>
          <t>Customer</t>
        </is>
      </c>
      <c r="E18" s="11" t="inlineStr">
        <is>
          <t>Login with phone OTP</t>
        </is>
      </c>
      <c r="F18" s="10" t="inlineStr">
        <is>
          <t>Login → Phone tab → Indian number → enter OTP. Try wrong OTP.</t>
        </is>
      </c>
      <c r="G18" s="10" t="inlineStr">
        <is>
          <t>Correct OTP logs in; wrong OTP shows error. New number goes to profile completion.</t>
        </is>
      </c>
      <c r="H18" s="10" t="inlineStr">
        <is>
          <t>P2</t>
        </is>
      </c>
      <c r="I18" s="8" t="inlineStr">
        <is>
          <t>Not run</t>
        </is>
      </c>
      <c r="J18" s="9" t="n"/>
      <c r="K18" s="8" t="n"/>
      <c r="L18" s="8" t="n"/>
      <c r="M18" s="8" t="n"/>
    </row>
    <row r="19">
      <c r="A19" s="10" t="inlineStr">
        <is>
          <t>AUTH-04</t>
        </is>
      </c>
      <c r="B19" s="10" t="inlineStr">
        <is>
          <t>Auth</t>
        </is>
      </c>
      <c r="C19" s="10" t="inlineStr">
        <is>
          <t>Website</t>
        </is>
      </c>
      <c r="D19" s="10" t="inlineStr">
        <is>
          <t>Customer</t>
        </is>
      </c>
      <c r="E19" s="11" t="inlineStr">
        <is>
          <t>Forgot / reset password</t>
        </is>
      </c>
      <c r="F19" s="10" t="inlineStr">
        <is>
          <t>Forgot password → email link → set new password → log in with it.</t>
        </is>
      </c>
      <c r="G19" s="10" t="inlineStr">
        <is>
          <t>Reset works; old password no longer works.</t>
        </is>
      </c>
      <c r="H19" s="10" t="inlineStr">
        <is>
          <t>P1</t>
        </is>
      </c>
      <c r="I19" s="8" t="inlineStr">
        <is>
          <t>Not run</t>
        </is>
      </c>
      <c r="J19" s="9" t="n"/>
      <c r="K19" s="8" t="n"/>
      <c r="L19" s="8" t="n"/>
      <c r="M19" s="8" t="n"/>
    </row>
    <row r="20">
      <c r="A20" s="10" t="inlineStr">
        <is>
          <t>AUTH-05</t>
        </is>
      </c>
      <c r="B20" s="10" t="inlineStr">
        <is>
          <t>Auth</t>
        </is>
      </c>
      <c r="C20" s="10" t="inlineStr">
        <is>
          <t>Website</t>
        </is>
      </c>
      <c r="D20" s="10" t="inlineStr">
        <is>
          <t>Vendor / RM</t>
        </is>
      </c>
      <c r="E20" s="11" t="inlineStr">
        <is>
          <t>Portal login pages</t>
        </is>
      </c>
      <c r="F20" s="10" t="inlineStr">
        <is>
          <t>Log in at /login/vendor and /login/rm with correct and wrong-role accounts.</t>
        </is>
      </c>
      <c r="G20" s="10" t="inlineStr">
        <is>
          <t>Each role lands on its own dashboard; wrong role shows a clear error.</t>
        </is>
      </c>
      <c r="H20" s="10" t="inlineStr">
        <is>
          <t>P1</t>
        </is>
      </c>
      <c r="I20" s="8" t="inlineStr">
        <is>
          <t>Not run</t>
        </is>
      </c>
      <c r="J20" s="9" t="n"/>
      <c r="K20" s="8" t="n"/>
      <c r="L20" s="8" t="n"/>
      <c r="M20" s="8" t="n"/>
    </row>
    <row r="21">
      <c r="A21" s="10" t="inlineStr">
        <is>
          <t>AUTH-06</t>
        </is>
      </c>
      <c r="B21" s="10" t="inlineStr">
        <is>
          <t>Auth</t>
        </is>
      </c>
      <c r="C21" s="10" t="inlineStr">
        <is>
          <t>Website</t>
        </is>
      </c>
      <c r="D21" s="10" t="inlineStr">
        <is>
          <t>Any</t>
        </is>
      </c>
      <c r="E21" s="11" t="inlineStr">
        <is>
          <t>Role protection</t>
        </is>
      </c>
      <c r="F21" s="10" t="inlineStr">
        <is>
          <t>As customer, open /vendor and /rm URLs directly. As guest, open /account.</t>
        </is>
      </c>
      <c r="G21" s="10" t="inlineStr">
        <is>
          <t>Access denied (not found page) or redirect to login. No data leaks.</t>
        </is>
      </c>
      <c r="H21" s="10" t="inlineStr">
        <is>
          <t>P1</t>
        </is>
      </c>
      <c r="I21" s="8" t="inlineStr">
        <is>
          <t>Not run</t>
        </is>
      </c>
      <c r="J21" s="9" t="n"/>
      <c r="K21" s="8" t="n"/>
      <c r="L21" s="8" t="n"/>
      <c r="M21" s="8" t="n"/>
    </row>
    <row r="22">
      <c r="A22" s="10" t="inlineStr">
        <is>
          <t>AUTH-07</t>
        </is>
      </c>
      <c r="B22" s="10" t="inlineStr">
        <is>
          <t>Auth</t>
        </is>
      </c>
      <c r="C22" s="10" t="inlineStr">
        <is>
          <t>Website</t>
        </is>
      </c>
      <c r="D22" s="10" t="inlineStr">
        <is>
          <t>Any</t>
        </is>
      </c>
      <c r="E22" s="11" t="inlineStr">
        <is>
          <t>Already logged in</t>
        </is>
      </c>
      <c r="F22" s="10" t="inlineStr">
        <is>
          <t>While logged in, open /login.</t>
        </is>
      </c>
      <c r="G22" s="10" t="inlineStr">
        <is>
          <t>Redirected to your dashboard/home.</t>
        </is>
      </c>
      <c r="H22" s="10" t="inlineStr">
        <is>
          <t>P3</t>
        </is>
      </c>
      <c r="I22" s="8" t="inlineStr">
        <is>
          <t>Not run</t>
        </is>
      </c>
      <c r="J22" s="9" t="n"/>
      <c r="K22" s="8" t="n"/>
      <c r="L22" s="8" t="n"/>
      <c r="M22" s="8" t="n"/>
    </row>
    <row r="23">
      <c r="A23" s="10" t="inlineStr">
        <is>
          <t>PUB-01</t>
        </is>
      </c>
      <c r="B23" s="10" t="inlineStr">
        <is>
          <t>Public website</t>
        </is>
      </c>
      <c r="C23" s="10" t="inlineStr">
        <is>
          <t>Website</t>
        </is>
      </c>
      <c r="D23" s="10" t="inlineStr">
        <is>
          <t>Guest</t>
        </is>
      </c>
      <c r="E23" s="11" t="inlineStr">
        <is>
          <t>Home page</t>
        </is>
      </c>
      <c r="F23" s="10" t="inlineStr">
        <is>
          <t>Open home; set/change location; click banners and category shortcuts.</t>
        </is>
      </c>
      <c r="G23" s="10" t="inlineStr">
        <is>
          <t>Page loads without errors; banners, salons and products show; links work.</t>
        </is>
      </c>
      <c r="H23" s="10" t="inlineStr">
        <is>
          <t>P1</t>
        </is>
      </c>
      <c r="I23" s="8" t="inlineStr">
        <is>
          <t>Not run</t>
        </is>
      </c>
      <c r="J23" s="9" t="n"/>
      <c r="K23" s="8" t="n"/>
      <c r="L23" s="8" t="n"/>
      <c r="M23" s="8" t="n"/>
    </row>
    <row r="24">
      <c r="A24" s="10" t="inlineStr">
        <is>
          <t>PUB-02</t>
        </is>
      </c>
      <c r="B24" s="10" t="inlineStr">
        <is>
          <t>Public website</t>
        </is>
      </c>
      <c r="C24" s="10" t="inlineStr">
        <is>
          <t>Website</t>
        </is>
      </c>
      <c r="D24" s="10" t="inlineStr">
        <is>
          <t>Guest</t>
        </is>
      </c>
      <c r="E24" s="11" t="inlineStr">
        <is>
          <t>Salon list: search &amp; filters</t>
        </is>
      </c>
      <c r="F24" s="10" t="inlineStr">
        <is>
          <t>/salons → search by name, filter by city/category/gender, 'near me', pagination. Refresh with filters.</t>
        </is>
      </c>
      <c r="G24" s="10" t="inlineStr">
        <is>
          <t>Results match filters; filters survive refresh (they are in the URL). Empty state when no results.</t>
        </is>
      </c>
      <c r="H24" s="10" t="inlineStr">
        <is>
          <t>P1</t>
        </is>
      </c>
      <c r="I24" s="8" t="inlineStr">
        <is>
          <t>Not run</t>
        </is>
      </c>
      <c r="J24" s="9" t="n"/>
      <c r="K24" s="8" t="n"/>
      <c r="L24" s="8" t="n"/>
      <c r="M24" s="8" t="n"/>
    </row>
    <row r="25">
      <c r="A25" s="10" t="inlineStr">
        <is>
          <t>PUB-03</t>
        </is>
      </c>
      <c r="B25" s="10" t="inlineStr">
        <is>
          <t>Public website</t>
        </is>
      </c>
      <c r="C25" s="10" t="inlineStr">
        <is>
          <t>Website</t>
        </is>
      </c>
      <c r="D25" s="10" t="inlineStr">
        <is>
          <t>Guest</t>
        </is>
      </c>
      <c r="E25" s="11" t="inlineStr">
        <is>
          <t>Salon detail page</t>
        </is>
      </c>
      <c r="F25" s="10" t="inlineStr">
        <is>
          <t>Open a salon: services, opening hours, offers, reviews, related salons, call/email links.</t>
        </is>
      </c>
      <c r="G25" s="10" t="inlineStr">
        <is>
          <t>All sections load. Hours match the salon's settings. Invalid salon URL shows 404 page.</t>
        </is>
      </c>
      <c r="H25" s="10" t="inlineStr">
        <is>
          <t>P1</t>
        </is>
      </c>
      <c r="I25" s="8" t="inlineStr">
        <is>
          <t>Not run</t>
        </is>
      </c>
      <c r="J25" s="9" t="n"/>
      <c r="K25" s="8" t="n"/>
      <c r="L25" s="8" t="n"/>
      <c r="M25" s="8" t="n"/>
    </row>
    <row r="26">
      <c r="A26" s="10" t="inlineStr">
        <is>
          <t>PUB-04</t>
        </is>
      </c>
      <c r="B26" s="10" t="inlineStr">
        <is>
          <t>Public website</t>
        </is>
      </c>
      <c r="C26" s="10" t="inlineStr">
        <is>
          <t>Website</t>
        </is>
      </c>
      <c r="D26" s="10" t="inlineStr">
        <is>
          <t>Guest</t>
        </is>
      </c>
      <c r="E26" s="11" t="inlineStr">
        <is>
          <t>Products list &amp; detail</t>
        </is>
      </c>
      <c r="F26" s="10" t="inlineStr">
        <is>
          <t>/products → filter/paginate → open product → related products.</t>
        </is>
      </c>
      <c r="G26" s="10" t="inlineStr">
        <is>
          <t>Price, sale price, stock state correct. 'Add to cart' asks guest to log in.</t>
        </is>
      </c>
      <c r="H26" s="10" t="inlineStr">
        <is>
          <t>P1</t>
        </is>
      </c>
      <c r="I26" s="8" t="inlineStr">
        <is>
          <t>Not run</t>
        </is>
      </c>
      <c r="J26" s="9" t="n"/>
      <c r="K26" s="8" t="n"/>
      <c r="L26" s="8" t="n"/>
      <c r="M26" s="8" t="n"/>
    </row>
    <row r="27">
      <c r="A27" s="10" t="inlineStr">
        <is>
          <t>PUB-05</t>
        </is>
      </c>
      <c r="B27" s="10" t="inlineStr">
        <is>
          <t>Public website</t>
        </is>
      </c>
      <c r="C27" s="10" t="inlineStr">
        <is>
          <t>Website</t>
        </is>
      </c>
      <c r="D27" s="10" t="inlineStr">
        <is>
          <t>Customer</t>
        </is>
      </c>
      <c r="E27" s="11" t="inlineStr">
        <is>
          <t>Favourites</t>
        </is>
      </c>
      <c r="F27" s="10" t="inlineStr">
        <is>
          <t>Heart a salon from list/detail → check /account/favorites → un-heart.</t>
        </is>
      </c>
      <c r="G27" s="10" t="inlineStr">
        <is>
          <t>Favourite saved and removed correctly.</t>
        </is>
      </c>
      <c r="H27" s="10" t="inlineStr">
        <is>
          <t>P2</t>
        </is>
      </c>
      <c r="I27" s="8" t="inlineStr">
        <is>
          <t>Not run</t>
        </is>
      </c>
      <c r="J27" s="9" t="n"/>
      <c r="K27" s="8" t="n"/>
      <c r="L27" s="8" t="n"/>
      <c r="M27" s="8" t="n"/>
    </row>
    <row r="28">
      <c r="A28" s="10" t="inlineStr">
        <is>
          <t>PUB-06</t>
        </is>
      </c>
      <c r="B28" s="10" t="inlineStr">
        <is>
          <t>Public website</t>
        </is>
      </c>
      <c r="C28" s="10" t="inlineStr">
        <is>
          <t>Website</t>
        </is>
      </c>
      <c r="D28" s="10" t="inlineStr">
        <is>
          <t>Guest</t>
        </is>
      </c>
      <c r="E28" s="11" t="inlineStr">
        <is>
          <t>Static pages &amp; 404</t>
        </is>
      </c>
      <c r="F28" s="10" t="inlineStr">
        <is>
          <t>About, FAQ, Privacy, Terms, Delete-account, random bad URL.</t>
        </is>
      </c>
      <c r="G28" s="10" t="inlineStr">
        <is>
          <t>All load; 404 page has working links.</t>
        </is>
      </c>
      <c r="H28" s="10" t="inlineStr">
        <is>
          <t>P3</t>
        </is>
      </c>
      <c r="I28" s="8" t="inlineStr">
        <is>
          <t>Not run</t>
        </is>
      </c>
      <c r="J28" s="9" t="n"/>
      <c r="K28" s="8" t="n"/>
      <c r="L28" s="8" t="n"/>
      <c r="M28" s="8" t="n"/>
    </row>
    <row r="29">
      <c r="A29" s="10" t="inlineStr">
        <is>
          <t>CART-01</t>
        </is>
      </c>
      <c r="B29" s="10" t="inlineStr">
        <is>
          <t>Cart &amp; checkout</t>
        </is>
      </c>
      <c r="C29" s="10" t="inlineStr">
        <is>
          <t>Website</t>
        </is>
      </c>
      <c r="D29" s="10" t="inlineStr">
        <is>
          <t>Customer</t>
        </is>
      </c>
      <c r="E29" s="11" t="inlineStr">
        <is>
          <t>Service cart edits</t>
        </is>
      </c>
      <c r="F29" s="10" t="inlineStr">
        <is>
          <t>Add services from one salon → remove one → clear cart → add again.</t>
        </is>
      </c>
      <c r="G29" s="10" t="inlineStr">
        <is>
          <t>Totals and item counts update instantly and after refresh.</t>
        </is>
      </c>
      <c r="H29" s="10" t="inlineStr">
        <is>
          <t>P1</t>
        </is>
      </c>
      <c r="I29" s="8" t="inlineStr">
        <is>
          <t>Not run</t>
        </is>
      </c>
      <c r="J29" s="9" t="n"/>
      <c r="K29" s="8" t="n"/>
      <c r="L29" s="8" t="n"/>
      <c r="M29" s="8" t="n"/>
    </row>
    <row r="30">
      <c r="A30" s="10" t="inlineStr">
        <is>
          <t>CART-02</t>
        </is>
      </c>
      <c r="B30" s="10" t="inlineStr">
        <is>
          <t>Cart &amp; checkout</t>
        </is>
      </c>
      <c r="C30" s="10" t="inlineStr">
        <is>
          <t>Website</t>
        </is>
      </c>
      <c r="D30" s="10" t="inlineStr">
        <is>
          <t>Customer</t>
        </is>
      </c>
      <c r="E30" s="11" t="inlineStr">
        <is>
          <t>Slot selection</t>
        </is>
      </c>
      <c r="F30" s="10" t="inlineStr">
        <is>
          <t>At checkout pick today, a future date and a closed day of the salon.</t>
        </is>
      </c>
      <c r="G30" s="10" t="inlineStr">
        <is>
          <t>Only valid slots shown; closed days have no slots; past times today not offered.</t>
        </is>
      </c>
      <c r="H30" s="10" t="inlineStr">
        <is>
          <t>P1</t>
        </is>
      </c>
      <c r="I30" s="8" t="inlineStr">
        <is>
          <t>Not run</t>
        </is>
      </c>
      <c r="J30" s="9" t="n"/>
      <c r="K30" s="8" t="n"/>
      <c r="L30" s="8" t="n"/>
      <c r="M30" s="8" t="n"/>
    </row>
    <row r="31">
      <c r="A31" s="10" t="inlineStr">
        <is>
          <t>CART-03</t>
        </is>
      </c>
      <c r="B31" s="10" t="inlineStr">
        <is>
          <t>Cart &amp; checkout</t>
        </is>
      </c>
      <c r="C31" s="10" t="inlineStr">
        <is>
          <t>Website</t>
        </is>
      </c>
      <c r="D31" s="10" t="inlineStr">
        <is>
          <t>Customer</t>
        </is>
      </c>
      <c r="E31" s="11" t="inlineStr">
        <is>
          <t>Payment failure / cancel</t>
        </is>
      </c>
      <c r="F31" s="10" t="inlineStr">
        <is>
          <t>Start checkout → close Razorpay popup; then try a failed test payment.</t>
        </is>
      </c>
      <c r="G31" s="10" t="inlineStr">
        <is>
          <t>No booking is confirmed; user can retry; clear message shown.</t>
        </is>
      </c>
      <c r="H31" s="10" t="inlineStr">
        <is>
          <t>P1</t>
        </is>
      </c>
      <c r="I31" s="8" t="inlineStr">
        <is>
          <t>Not run</t>
        </is>
      </c>
      <c r="J31" s="9" t="n"/>
      <c r="K31" s="8" t="n"/>
      <c r="L31" s="8" t="n"/>
      <c r="M31" s="8" t="n"/>
    </row>
    <row r="32">
      <c r="A32" s="10" t="inlineStr">
        <is>
          <t>CART-04</t>
        </is>
      </c>
      <c r="B32" s="10" t="inlineStr">
        <is>
          <t>Cart &amp; checkout</t>
        </is>
      </c>
      <c r="C32" s="10" t="inlineStr">
        <is>
          <t>Website</t>
        </is>
      </c>
      <c r="D32" s="10" t="inlineStr">
        <is>
          <t>Customer</t>
        </is>
      </c>
      <c r="E32" s="11" t="inlineStr">
        <is>
          <t>Price breakdown</t>
        </is>
      </c>
      <c r="F32" s="10" t="inlineStr">
        <is>
          <t>Check subtotal, discount, convenience fee and total on cart, checkout and Razorpay popup.</t>
        </is>
      </c>
      <c r="G32" s="10" t="inlineStr">
        <is>
          <t>Same total everywhere; amount charged equals the total shown.</t>
        </is>
      </c>
      <c r="H32" s="10" t="inlineStr">
        <is>
          <t>P1</t>
        </is>
      </c>
      <c r="I32" s="8" t="inlineStr">
        <is>
          <t>Not run</t>
        </is>
      </c>
      <c r="J32" s="9" t="n"/>
      <c r="K32" s="8" t="n"/>
      <c r="L32" s="8" t="n"/>
      <c r="M32" s="8" t="n"/>
    </row>
    <row r="33">
      <c r="A33" s="10" t="inlineStr">
        <is>
          <t>ACC-01</t>
        </is>
      </c>
      <c r="B33" s="10" t="inlineStr">
        <is>
          <t>Customer account</t>
        </is>
      </c>
      <c r="C33" s="10" t="inlineStr">
        <is>
          <t>Website</t>
        </is>
      </c>
      <c r="D33" s="10" t="inlineStr">
        <is>
          <t>Customer</t>
        </is>
      </c>
      <c r="E33" s="11" t="inlineStr">
        <is>
          <t>Account home</t>
        </is>
      </c>
      <c r="F33" s="10" t="inlineStr">
        <is>
          <t>Open /account with and without bookings/orders.</t>
        </is>
      </c>
      <c r="G33" s="10" t="inlineStr">
        <is>
          <t>Shows upcoming booking, recent orders, favourites; sensible empty states.</t>
        </is>
      </c>
      <c r="H33" s="10" t="inlineStr">
        <is>
          <t>P2</t>
        </is>
      </c>
      <c r="I33" s="8" t="inlineStr">
        <is>
          <t>Not run</t>
        </is>
      </c>
      <c r="J33" s="9" t="n"/>
      <c r="K33" s="8" t="n"/>
      <c r="L33" s="8" t="n"/>
      <c r="M33" s="8" t="n"/>
    </row>
    <row r="34">
      <c r="A34" s="10" t="inlineStr">
        <is>
          <t>ACC-02</t>
        </is>
      </c>
      <c r="B34" s="10" t="inlineStr">
        <is>
          <t>Customer account</t>
        </is>
      </c>
      <c r="C34" s="10" t="inlineStr">
        <is>
          <t>Website</t>
        </is>
      </c>
      <c r="D34" s="10" t="inlineStr">
        <is>
          <t>Customer</t>
        </is>
      </c>
      <c r="E34" s="11" t="inlineStr">
        <is>
          <t>Bookings list</t>
        </is>
      </c>
      <c r="F34" s="10" t="inlineStr">
        <is>
          <t>Upcoming vs Past tabs; cancel allowed only for pending/confirmed.</t>
        </is>
      </c>
      <c r="G34" s="10" t="inlineStr">
        <is>
          <t>Completed/cancelled/no-show bookings cannot be cancelled.</t>
        </is>
      </c>
      <c r="H34" s="10" t="inlineStr">
        <is>
          <t>P1</t>
        </is>
      </c>
      <c r="I34" s="8" t="inlineStr">
        <is>
          <t>Not run</t>
        </is>
      </c>
      <c r="J34" s="9" t="n"/>
      <c r="K34" s="8" t="n"/>
      <c r="L34" s="8" t="n"/>
      <c r="M34" s="8" t="n"/>
    </row>
    <row r="35">
      <c r="A35" s="10" t="inlineStr">
        <is>
          <t>ACC-03</t>
        </is>
      </c>
      <c r="B35" s="10" t="inlineStr">
        <is>
          <t>Customer account</t>
        </is>
      </c>
      <c r="C35" s="10" t="inlineStr">
        <is>
          <t>Website</t>
        </is>
      </c>
      <c r="D35" s="10" t="inlineStr">
        <is>
          <t>Customer</t>
        </is>
      </c>
      <c r="E35" s="11" t="inlineStr">
        <is>
          <t>Profile edit</t>
        </is>
      </c>
      <c r="F35" s="10" t="inlineStr">
        <is>
          <t>Change name/gender/age; add/verify phone via OTP; reload.</t>
        </is>
      </c>
      <c r="G35" s="10" t="inlineStr">
        <is>
          <t>Changes persist after reload.</t>
        </is>
      </c>
      <c r="H35" s="10" t="inlineStr">
        <is>
          <t>P2</t>
        </is>
      </c>
      <c r="I35" s="8" t="inlineStr">
        <is>
          <t>Not run</t>
        </is>
      </c>
      <c r="J35" s="9" t="n"/>
      <c r="K35" s="8" t="n"/>
      <c r="L35" s="8" t="n"/>
      <c r="M35" s="8" t="n"/>
    </row>
    <row r="36">
      <c r="A36" s="10" t="inlineStr">
        <is>
          <t>VEN-01</t>
        </is>
      </c>
      <c r="B36" s="10" t="inlineStr">
        <is>
          <t>Vendor portal</t>
        </is>
      </c>
      <c r="C36" s="10" t="inlineStr">
        <is>
          <t>Vendor Portal</t>
        </is>
      </c>
      <c r="D36" s="10" t="inlineStr">
        <is>
          <t>Vendor</t>
        </is>
      </c>
      <c r="E36" s="11" t="inlineStr">
        <is>
          <t>Dashboard</t>
        </is>
      </c>
      <c r="F36" s="10" t="inlineStr">
        <is>
          <t>Open /vendor. Click every card, quick action and sidebar item.</t>
        </is>
      </c>
      <c r="G36" s="10" t="inlineStr">
        <is>
          <t>Numbers match real bookings; every link opens the right page and you can navigate back via the sidebar.</t>
        </is>
      </c>
      <c r="H36" s="10" t="inlineStr">
        <is>
          <t>P1</t>
        </is>
      </c>
      <c r="I36" s="8" t="inlineStr">
        <is>
          <t>Not run</t>
        </is>
      </c>
      <c r="J36" s="9" t="n"/>
      <c r="K36" s="8" t="n"/>
      <c r="L36" s="8" t="n"/>
      <c r="M36" s="8" t="n"/>
    </row>
    <row r="37">
      <c r="A37" s="10" t="inlineStr">
        <is>
          <t>VEN-02</t>
        </is>
      </c>
      <c r="B37" s="10" t="inlineStr">
        <is>
          <t>Vendor portal</t>
        </is>
      </c>
      <c r="C37" s="10" t="inlineStr">
        <is>
          <t>Vendor Portal</t>
        </is>
      </c>
      <c r="D37" s="10" t="inlineStr">
        <is>
          <t>Vendor (unpaid)</t>
        </is>
      </c>
      <c r="E37" s="11" t="inlineStr">
        <is>
          <t>Payment gate</t>
        </is>
      </c>
      <c r="F37" s="10" t="inlineStr">
        <is>
          <t>Log in as a vendor who has not paid the registration fee.</t>
        </is>
      </c>
      <c r="G37" s="10" t="inlineStr">
        <is>
          <t>Dashboard asks to pay; after test payment the dashboard unlocks and /vendor/payment redirects away.</t>
        </is>
      </c>
      <c r="H37" s="10" t="inlineStr">
        <is>
          <t>P1</t>
        </is>
      </c>
      <c r="I37" s="8" t="inlineStr">
        <is>
          <t>Not run</t>
        </is>
      </c>
      <c r="J37" s="9" t="n"/>
      <c r="K37" s="8" t="n"/>
      <c r="L37" s="8" t="n"/>
      <c r="M37" s="8" t="n"/>
    </row>
    <row r="38">
      <c r="A38" s="10" t="inlineStr">
        <is>
          <t>VEN-03</t>
        </is>
      </c>
      <c r="B38" s="10" t="inlineStr">
        <is>
          <t>Vendor portal</t>
        </is>
      </c>
      <c r="C38" s="10" t="inlineStr">
        <is>
          <t>Vendor Portal</t>
        </is>
      </c>
      <c r="D38" s="10" t="inlineStr">
        <is>
          <t>Vendor</t>
        </is>
      </c>
      <c r="E38" s="11" t="inlineStr">
        <is>
          <t>Add services (4-step wizard)</t>
        </is>
      </c>
      <c r="F38" s="10" t="inlineStr">
        <is>
          <t>Services → Add → gender → category → sub-category → enter several services (name, price, duration) → save.</t>
        </is>
      </c>
      <c r="G38" s="10" t="inlineStr">
        <is>
          <t>All services saved and listed; they appear on the public salon page.</t>
        </is>
      </c>
      <c r="H38" s="10" t="inlineStr">
        <is>
          <t>P1</t>
        </is>
      </c>
      <c r="I38" s="8" t="inlineStr">
        <is>
          <t>Not run</t>
        </is>
      </c>
      <c r="J38" s="9" t="n"/>
      <c r="K38" s="8" t="n"/>
      <c r="L38" s="8" t="n"/>
      <c r="M38" s="8" t="n"/>
    </row>
    <row r="39">
      <c r="A39" s="10" t="inlineStr">
        <is>
          <t>VEN-04</t>
        </is>
      </c>
      <c r="B39" s="10" t="inlineStr">
        <is>
          <t>Vendor portal</t>
        </is>
      </c>
      <c r="C39" s="10" t="inlineStr">
        <is>
          <t>Vendor Portal</t>
        </is>
      </c>
      <c r="D39" s="10" t="inlineStr">
        <is>
          <t>Vendor</t>
        </is>
      </c>
      <c r="E39" s="11" t="inlineStr">
        <is>
          <t>Edit / deactivate a service</t>
        </is>
      </c>
      <c r="F39" s="10" t="inlineStr">
        <is>
          <t>Edit price &amp; duration; deactivate a service; search and filter the list.</t>
        </is>
      </c>
      <c r="G39" s="10" t="inlineStr">
        <is>
          <t>Changes show on public salon page; inactive service not bookable.</t>
        </is>
      </c>
      <c r="H39" s="10" t="inlineStr">
        <is>
          <t>P1</t>
        </is>
      </c>
      <c r="I39" s="8" t="inlineStr">
        <is>
          <t>Not run</t>
        </is>
      </c>
      <c r="J39" s="9" t="n"/>
      <c r="K39" s="8" t="n"/>
      <c r="L39" s="8" t="n"/>
      <c r="M39" s="8" t="n"/>
    </row>
    <row r="40">
      <c r="A40" s="10" t="inlineStr">
        <is>
          <t>VEN-05</t>
        </is>
      </c>
      <c r="B40" s="10" t="inlineStr">
        <is>
          <t>Vendor portal</t>
        </is>
      </c>
      <c r="C40" s="10" t="inlineStr">
        <is>
          <t>Vendor Portal</t>
        </is>
      </c>
      <c r="D40" s="10" t="inlineStr">
        <is>
          <t>Vendor</t>
        </is>
      </c>
      <c r="E40" s="11" t="inlineStr">
        <is>
          <t>Manage bookings</t>
        </is>
      </c>
      <c r="F40" s="10" t="inlineStr">
        <is>
          <t>Bookings → filter by status/date, search → open details → Confirm → Complete; try No-show.</t>
        </is>
      </c>
      <c r="G40" s="10" t="inlineStr">
        <is>
          <t>Status updates persist and are visible to the customer. (Vendor has no Cancel button by design.)</t>
        </is>
      </c>
      <c r="H40" s="10" t="inlineStr">
        <is>
          <t>P1</t>
        </is>
      </c>
      <c r="I40" s="8" t="inlineStr">
        <is>
          <t>Not run</t>
        </is>
      </c>
      <c r="J40" s="9" t="n"/>
      <c r="K40" s="8" t="n"/>
      <c r="L40" s="8" t="n"/>
      <c r="M40" s="8" t="n"/>
    </row>
    <row r="41">
      <c r="A41" s="10" t="inlineStr">
        <is>
          <t>VEN-06</t>
        </is>
      </c>
      <c r="B41" s="10" t="inlineStr">
        <is>
          <t>Vendor portal</t>
        </is>
      </c>
      <c r="C41" s="10" t="inlineStr">
        <is>
          <t>Vendor Portal</t>
        </is>
      </c>
      <c r="D41" s="10" t="inlineStr">
        <is>
          <t>Vendor</t>
        </is>
      </c>
      <c r="E41" s="11" t="inlineStr">
        <is>
          <t>Salon profile</t>
        </is>
      </c>
      <c r="F41" s="10" t="inlineStr">
        <is>
          <t>Edit description, hours, facilities, address, location → Save → reload. Try Cancel.</t>
        </is>
      </c>
      <c r="G41" s="10" t="inlineStr">
        <is>
          <t>Saved changes persist and show on public page; Cancel discards changes.</t>
        </is>
      </c>
      <c r="H41" s="10" t="inlineStr">
        <is>
          <t>P1</t>
        </is>
      </c>
      <c r="I41" s="8" t="inlineStr">
        <is>
          <t>Not run</t>
        </is>
      </c>
      <c r="J41" s="9" t="n"/>
      <c r="K41" s="8" t="n"/>
      <c r="L41" s="8" t="n"/>
      <c r="M41" s="8" t="n"/>
    </row>
    <row r="42">
      <c r="A42" s="10" t="inlineStr">
        <is>
          <t>VEN-07</t>
        </is>
      </c>
      <c r="B42" s="10" t="inlineStr">
        <is>
          <t>Vendor portal</t>
        </is>
      </c>
      <c r="C42" s="10" t="inlineStr">
        <is>
          <t>Vendor Portal</t>
        </is>
      </c>
      <c r="D42" s="10" t="inlineStr">
        <is>
          <t>Vendor</t>
        </is>
      </c>
      <c r="E42" s="11" t="inlineStr">
        <is>
          <t>Coupons CRUD</t>
        </is>
      </c>
      <c r="F42" s="10" t="inlineStr">
        <is>
          <t>Create (with and without 'Valid From'), edit, deactivate.</t>
        </is>
      </c>
      <c r="G42" s="10" t="inlineStr">
        <is>
          <t>All actions succeed; deactivated coupon no longer offered to customers.</t>
        </is>
      </c>
      <c r="H42" s="10" t="inlineStr">
        <is>
          <t>P2</t>
        </is>
      </c>
      <c r="I42" s="8" t="inlineStr">
        <is>
          <t>Not run</t>
        </is>
      </c>
      <c r="J42" s="9" t="n"/>
      <c r="K42" s="8" t="n"/>
      <c r="L42" s="8" t="n"/>
      <c r="M42" s="8" t="n"/>
    </row>
    <row r="43">
      <c r="A43" s="10" t="inlineStr">
        <is>
          <t>RM-01</t>
        </is>
      </c>
      <c r="B43" s="10" t="inlineStr">
        <is>
          <t>RM portal</t>
        </is>
      </c>
      <c r="C43" s="10" t="inlineStr">
        <is>
          <t>RM Portal</t>
        </is>
      </c>
      <c r="D43" s="10" t="inlineStr">
        <is>
          <t>RM</t>
        </is>
      </c>
      <c r="E43" s="11" t="inlineStr">
        <is>
          <t>Dashboard</t>
        </is>
      </c>
      <c r="F43" s="10" t="inlineStr">
        <is>
          <t>Open /rm; check stats, needs-attention, recent submissions, rank.</t>
        </is>
      </c>
      <c r="G43" s="10" t="inlineStr">
        <is>
          <t>Counts match Submissions page; links open correct filtered lists.</t>
        </is>
      </c>
      <c r="H43" s="10" t="inlineStr">
        <is>
          <t>P2</t>
        </is>
      </c>
      <c r="I43" s="8" t="inlineStr">
        <is>
          <t>Not run</t>
        </is>
      </c>
      <c r="J43" s="9" t="n"/>
      <c r="K43" s="8" t="n"/>
      <c r="L43" s="8" t="n"/>
      <c r="M43" s="8" t="n"/>
    </row>
    <row r="44">
      <c r="A44" s="10" t="inlineStr">
        <is>
          <t>RM-02</t>
        </is>
      </c>
      <c r="B44" s="10" t="inlineStr">
        <is>
          <t>RM portal</t>
        </is>
      </c>
      <c r="C44" s="10" t="inlineStr">
        <is>
          <t>RM Portal</t>
        </is>
      </c>
      <c r="D44" s="10" t="inlineStr">
        <is>
          <t>RM</t>
        </is>
      </c>
      <c r="E44" s="11" t="inlineStr">
        <is>
          <t>Save salon as draft &amp; resume</t>
        </is>
      </c>
      <c r="F44" s="10" t="inlineStr">
        <is>
          <t>Add Salon → fill some steps → Save Draft → Drafts → open → continue → submit. Delete another draft.</t>
        </is>
      </c>
      <c r="G44" s="10" t="inlineStr">
        <is>
          <t>Draft reopens on the same step with all data (incl. address with commas). Delete removes it.</t>
        </is>
      </c>
      <c r="H44" s="10" t="inlineStr">
        <is>
          <t>P1</t>
        </is>
      </c>
      <c r="I44" s="8" t="inlineStr">
        <is>
          <t>Not run</t>
        </is>
      </c>
      <c r="J44" s="9" t="n"/>
      <c r="K44" s="8" t="n"/>
      <c r="L44" s="8" t="n"/>
      <c r="M44" s="8" t="n"/>
    </row>
    <row r="45">
      <c r="A45" s="10" t="inlineStr">
        <is>
          <t>RM-03</t>
        </is>
      </c>
      <c r="B45" s="10" t="inlineStr">
        <is>
          <t>RM portal</t>
        </is>
      </c>
      <c r="C45" s="10" t="inlineStr">
        <is>
          <t>RM Portal</t>
        </is>
      </c>
      <c r="D45" s="10" t="inlineStr">
        <is>
          <t>RM</t>
        </is>
      </c>
      <c r="E45" s="11" t="inlineStr">
        <is>
          <t>Submission validation</t>
        </is>
      </c>
      <c r="F45" s="10" t="inlineStr">
        <is>
          <t>Try submitting without required fields / agreement doc / cover image.</t>
        </is>
      </c>
      <c r="G45" s="10" t="inlineStr">
        <is>
          <t>Clear validation errors; nothing submitted.</t>
        </is>
      </c>
      <c r="H45" s="10" t="inlineStr">
        <is>
          <t>P2</t>
        </is>
      </c>
      <c r="I45" s="8" t="inlineStr">
        <is>
          <t>Not run</t>
        </is>
      </c>
      <c r="J45" s="9" t="n"/>
      <c r="K45" s="8" t="n"/>
      <c r="L45" s="8" t="n"/>
      <c r="M45" s="8" t="n"/>
    </row>
    <row r="46">
      <c r="A46" s="10" t="inlineStr">
        <is>
          <t>RM-04</t>
        </is>
      </c>
      <c r="B46" s="10" t="inlineStr">
        <is>
          <t>RM portal</t>
        </is>
      </c>
      <c r="C46" s="10" t="inlineStr">
        <is>
          <t>RM Portal</t>
        </is>
      </c>
      <c r="D46" s="10" t="inlineStr">
        <is>
          <t>RM</t>
        </is>
      </c>
      <c r="E46" s="11" t="inlineStr">
        <is>
          <t>Submissions, profile, leaderboard</t>
        </is>
      </c>
      <c r="F46" s="10" t="inlineStr">
        <is>
          <t>Status tabs + search; edit profile name/phone; leaderboard Top 10/20/50.</t>
        </is>
      </c>
      <c r="G46" s="10" t="inlineStr">
        <is>
          <t>Filters correct; profile saves after reload; own rank highlighted.</t>
        </is>
      </c>
      <c r="H46" s="10" t="inlineStr">
        <is>
          <t>P3</t>
        </is>
      </c>
      <c r="I46" s="8" t="inlineStr">
        <is>
          <t>Not run</t>
        </is>
      </c>
      <c r="J46" s="9" t="n"/>
      <c r="K46" s="8" t="n"/>
      <c r="L46" s="8" t="n"/>
      <c r="M46" s="8" t="n"/>
    </row>
    <row r="47">
      <c r="A47" s="10" t="inlineStr">
        <is>
          <t>ADM-01</t>
        </is>
      </c>
      <c r="B47" s="10" t="inlineStr">
        <is>
          <t>Admin panel</t>
        </is>
      </c>
      <c r="C47" s="10" t="inlineStr">
        <is>
          <t>Admin Panel</t>
        </is>
      </c>
      <c r="D47" s="10" t="inlineStr">
        <is>
          <t>Admin</t>
        </is>
      </c>
      <c r="E47" s="11" t="inlineStr">
        <is>
          <t>Login &amp; dashboard</t>
        </is>
      </c>
      <c r="F47" s="10" t="inlineStr">
        <is>
          <t>Log in to Admin Panel; open every sidebar page once.</t>
        </is>
      </c>
      <c r="G47" s="10" t="inlineStr">
        <is>
          <t>Every page loads without errors or blank screens.</t>
        </is>
      </c>
      <c r="H47" s="10" t="inlineStr">
        <is>
          <t>P1</t>
        </is>
      </c>
      <c r="I47" s="8" t="inlineStr">
        <is>
          <t>Not run</t>
        </is>
      </c>
      <c r="J47" s="9" t="n"/>
      <c r="K47" s="8" t="n"/>
      <c r="L47" s="8" t="n"/>
      <c r="M47" s="8" t="n"/>
    </row>
    <row r="48">
      <c r="A48" s="10" t="inlineStr">
        <is>
          <t>ADM-02</t>
        </is>
      </c>
      <c r="B48" s="10" t="inlineStr">
        <is>
          <t>Admin panel</t>
        </is>
      </c>
      <c r="C48" s="10" t="inlineStr">
        <is>
          <t>Admin Panel</t>
        </is>
      </c>
      <c r="D48" s="10" t="inlineStr">
        <is>
          <t>Admin</t>
        </is>
      </c>
      <c r="E48" s="11" t="inlineStr">
        <is>
          <t>Users</t>
        </is>
      </c>
      <c r="F48" s="10" t="inlineStr">
        <is>
          <t>Search/filter users; create user of each role; edit a user.</t>
        </is>
      </c>
      <c r="G48" s="10" t="inlineStr">
        <is>
          <t>New user can log in with the role given.</t>
        </is>
      </c>
      <c r="H48" s="10" t="inlineStr">
        <is>
          <t>P1</t>
        </is>
      </c>
      <c r="I48" s="8" t="inlineStr">
        <is>
          <t>Not run</t>
        </is>
      </c>
      <c r="J48" s="9" t="n"/>
      <c r="K48" s="8" t="n"/>
      <c r="L48" s="8" t="n"/>
      <c r="M48" s="8" t="n"/>
    </row>
    <row r="49">
      <c r="A49" s="10" t="inlineStr">
        <is>
          <t>ADM-03</t>
        </is>
      </c>
      <c r="B49" s="10" t="inlineStr">
        <is>
          <t>Admin panel</t>
        </is>
      </c>
      <c r="C49" s="10" t="inlineStr">
        <is>
          <t>Admin Panel</t>
        </is>
      </c>
      <c r="D49" s="10" t="inlineStr">
        <is>
          <t>Admin</t>
        </is>
      </c>
      <c r="E49" s="11" t="inlineStr">
        <is>
          <t>Salons</t>
        </is>
      </c>
      <c r="F49" s="10" t="inlineStr">
        <is>
          <t>Search salons; view details; activate/deactivate a salon.</t>
        </is>
      </c>
      <c r="G49" s="10" t="inlineStr">
        <is>
          <t>Deactivated salon disappears from public website; reactivating brings it back.</t>
        </is>
      </c>
      <c r="H49" s="10" t="inlineStr">
        <is>
          <t>P1</t>
        </is>
      </c>
      <c r="I49" s="8" t="inlineStr">
        <is>
          <t>Not run</t>
        </is>
      </c>
      <c r="J49" s="9" t="n"/>
      <c r="K49" s="8" t="n"/>
      <c r="L49" s="8" t="n"/>
      <c r="M49" s="8" t="n"/>
    </row>
    <row r="50">
      <c r="A50" s="10" t="inlineStr">
        <is>
          <t>ADM-04</t>
        </is>
      </c>
      <c r="B50" s="10" t="inlineStr">
        <is>
          <t>Admin panel</t>
        </is>
      </c>
      <c r="C50" s="10" t="inlineStr">
        <is>
          <t>Admin Panel</t>
        </is>
      </c>
      <c r="D50" s="10" t="inlineStr">
        <is>
          <t>Admin</t>
        </is>
      </c>
      <c r="E50" s="11" t="inlineStr">
        <is>
          <t>Service categories</t>
        </is>
      </c>
      <c r="F50" s="10" t="inlineStr">
        <is>
          <t>Add/edit a category or sub-category.</t>
        </is>
      </c>
      <c r="G50" s="10" t="inlineStr">
        <is>
          <t>Shows up in the vendor Add Service wizard.</t>
        </is>
      </c>
      <c r="H50" s="10" t="inlineStr">
        <is>
          <t>P2</t>
        </is>
      </c>
      <c r="I50" s="8" t="inlineStr">
        <is>
          <t>Not run</t>
        </is>
      </c>
      <c r="J50" s="9" t="n"/>
      <c r="K50" s="8" t="n"/>
      <c r="L50" s="8" t="n"/>
      <c r="M50" s="8" t="n"/>
    </row>
    <row r="51">
      <c r="A51" s="10" t="inlineStr">
        <is>
          <t>ADM-05</t>
        </is>
      </c>
      <c r="B51" s="10" t="inlineStr">
        <is>
          <t>Admin panel</t>
        </is>
      </c>
      <c r="C51" s="10" t="inlineStr">
        <is>
          <t>Admin Panel</t>
        </is>
      </c>
      <c r="D51" s="10" t="inlineStr">
        <is>
          <t>Admin</t>
        </is>
      </c>
      <c r="E51" s="11" t="inlineStr">
        <is>
          <t>Products</t>
        </is>
      </c>
      <c r="F51" s="10" t="inlineStr">
        <is>
          <t>Create product with images, price, sale price, stock; edit; deactivate.</t>
        </is>
      </c>
      <c r="G51" s="10" t="inlineStr">
        <is>
          <t>Changes reflected on /products and product detail page.</t>
        </is>
      </c>
      <c r="H51" s="10" t="inlineStr">
        <is>
          <t>P1</t>
        </is>
      </c>
      <c r="I51" s="8" t="inlineStr">
        <is>
          <t>Not run</t>
        </is>
      </c>
      <c r="J51" s="9" t="n"/>
      <c r="K51" s="8" t="n"/>
      <c r="L51" s="8" t="n"/>
      <c r="M51" s="8" t="n"/>
    </row>
    <row r="52">
      <c r="A52" s="10" t="inlineStr">
        <is>
          <t>ADM-06</t>
        </is>
      </c>
      <c r="B52" s="10" t="inlineStr">
        <is>
          <t>Admin panel</t>
        </is>
      </c>
      <c r="C52" s="10" t="inlineStr">
        <is>
          <t>Admin Panel</t>
        </is>
      </c>
      <c r="D52" s="10" t="inlineStr">
        <is>
          <t>Admin</t>
        </is>
      </c>
      <c r="E52" s="11" t="inlineStr">
        <is>
          <t>Appointments &amp; product orders</t>
        </is>
      </c>
      <c r="F52" s="10" t="inlineStr">
        <is>
          <t>Filter appointments; update product order status.</t>
        </is>
      </c>
      <c r="G52" s="10" t="inlineStr">
        <is>
          <t>Lists match real data; status change visible to customer.</t>
        </is>
      </c>
      <c r="H52" s="10" t="inlineStr">
        <is>
          <t>P2</t>
        </is>
      </c>
      <c r="I52" s="8" t="inlineStr">
        <is>
          <t>Not run</t>
        </is>
      </c>
      <c r="J52" s="9" t="n"/>
      <c r="K52" s="8" t="n"/>
      <c r="L52" s="8" t="n"/>
      <c r="M52" s="8" t="n"/>
    </row>
    <row r="53">
      <c r="A53" s="10" t="inlineStr">
        <is>
          <t>ADM-07</t>
        </is>
      </c>
      <c r="B53" s="10" t="inlineStr">
        <is>
          <t>Admin panel</t>
        </is>
      </c>
      <c r="C53" s="10" t="inlineStr">
        <is>
          <t>Admin Panel</t>
        </is>
      </c>
      <c r="D53" s="10" t="inlineStr">
        <is>
          <t>Admin</t>
        </is>
      </c>
      <c r="E53" s="11" t="inlineStr">
        <is>
          <t>RM management</t>
        </is>
      </c>
      <c r="F53" s="10" t="inlineStr">
        <is>
          <t>Open an RM → edit profile/notes → view score history.</t>
        </is>
      </c>
      <c r="G53" s="10" t="inlineStr">
        <is>
          <t>Changes saved; score history matches approvals/rejections.</t>
        </is>
      </c>
      <c r="H53" s="10" t="inlineStr">
        <is>
          <t>P2</t>
        </is>
      </c>
      <c r="I53" s="8" t="inlineStr">
        <is>
          <t>Not run</t>
        </is>
      </c>
      <c r="J53" s="9" t="n"/>
      <c r="K53" s="8" t="n"/>
      <c r="L53" s="8" t="n"/>
      <c r="M53" s="8" t="n"/>
    </row>
    <row r="54">
      <c r="A54" s="10" t="inlineStr">
        <is>
          <t>ADM-08</t>
        </is>
      </c>
      <c r="B54" s="10" t="inlineStr">
        <is>
          <t>Admin panel</t>
        </is>
      </c>
      <c r="C54" s="10" t="inlineStr">
        <is>
          <t>Admin Panel</t>
        </is>
      </c>
      <c r="D54" s="10" t="inlineStr">
        <is>
          <t>Admin</t>
        </is>
      </c>
      <c r="E54" s="11" t="inlineStr">
        <is>
          <t>System config &amp; feature flags</t>
        </is>
      </c>
      <c r="F54" s="10" t="inlineStr">
        <is>
          <t>VIEW ONLY unless the dev team asks: check fees/config pages and feature flags load.</t>
        </is>
      </c>
      <c r="G54" s="10" t="inlineStr">
        <is>
          <t>Pages load. Do not change payment keys or fees without approval.</t>
        </is>
      </c>
      <c r="H54" s="10" t="inlineStr">
        <is>
          <t>P3</t>
        </is>
      </c>
      <c r="I54" s="8" t="inlineStr">
        <is>
          <t>Not run</t>
        </is>
      </c>
      <c r="J54" s="9" t="n"/>
      <c r="K54" s="8" t="n"/>
      <c r="L54" s="8" t="n"/>
      <c r="M54" s="8" t="n"/>
    </row>
    <row r="55">
      <c r="A55" s="10" t="inlineStr">
        <is>
          <t>GEN-01</t>
        </is>
      </c>
      <c r="B55" s="10" t="inlineStr">
        <is>
          <t>General</t>
        </is>
      </c>
      <c r="C55" s="10" t="inlineStr">
        <is>
          <t>All web apps</t>
        </is>
      </c>
      <c r="D55" s="10" t="inlineStr">
        <is>
          <t>Any</t>
        </is>
      </c>
      <c r="E55" s="11" t="inlineStr">
        <is>
          <t>Mobile / tablet layout</t>
        </is>
      </c>
      <c r="F55" s="10" t="inlineStr">
        <is>
          <t>Repeat P1 pages at phone width (~390px), tablet, and desktop.</t>
        </is>
      </c>
      <c r="G55" s="10" t="inlineStr">
        <is>
          <t>No horizontal scrolling, overlapping or cut-off buttons; bottom nav works on phone.</t>
        </is>
      </c>
      <c r="H55" s="10" t="inlineStr">
        <is>
          <t>P1</t>
        </is>
      </c>
      <c r="I55" s="8" t="inlineStr">
        <is>
          <t>Not run</t>
        </is>
      </c>
      <c r="J55" s="9" t="n"/>
      <c r="K55" s="8" t="n"/>
      <c r="L55" s="8" t="n"/>
      <c r="M55" s="8" t="n"/>
    </row>
    <row r="56">
      <c r="A56" s="10" t="inlineStr">
        <is>
          <t>GEN-02</t>
        </is>
      </c>
      <c r="B56" s="10" t="inlineStr">
        <is>
          <t>General</t>
        </is>
      </c>
      <c r="C56" s="10" t="inlineStr">
        <is>
          <t>All web apps</t>
        </is>
      </c>
      <c r="D56" s="10" t="inlineStr">
        <is>
          <t>Any</t>
        </is>
      </c>
      <c r="E56" s="11" t="inlineStr">
        <is>
          <t>Browsers</t>
        </is>
      </c>
      <c r="F56" s="10" t="inlineStr">
        <is>
          <t>Smoke test P1 flows in Chrome, Safari (iPhone) and Firefox/Edge.</t>
        </is>
      </c>
      <c r="G56" s="10" t="inlineStr">
        <is>
          <t>Same behaviour in all browsers.</t>
        </is>
      </c>
      <c r="H56" s="10" t="inlineStr">
        <is>
          <t>P2</t>
        </is>
      </c>
      <c r="I56" s="8" t="inlineStr">
        <is>
          <t>Not run</t>
        </is>
      </c>
      <c r="J56" s="9" t="n"/>
      <c r="K56" s="8" t="n"/>
      <c r="L56" s="8" t="n"/>
      <c r="M56" s="8" t="n"/>
    </row>
    <row r="57">
      <c r="A57" s="10" t="inlineStr">
        <is>
          <t>GEN-03</t>
        </is>
      </c>
      <c r="B57" s="10" t="inlineStr">
        <is>
          <t>General</t>
        </is>
      </c>
      <c r="C57" s="10" t="inlineStr">
        <is>
          <t>All web apps</t>
        </is>
      </c>
      <c r="D57" s="10" t="inlineStr">
        <is>
          <t>Any</t>
        </is>
      </c>
      <c r="E57" s="11" t="inlineStr">
        <is>
          <t>Refresh &amp; back button</t>
        </is>
      </c>
      <c r="F57" s="10" t="inlineStr">
        <is>
          <t>On every portal page: refresh, and use browser back/forward.</t>
        </is>
      </c>
      <c r="G57" s="10" t="inlineStr">
        <is>
          <t>No logout, blank page or error after refresh.</t>
        </is>
      </c>
      <c r="H57" s="10" t="inlineStr">
        <is>
          <t>P1</t>
        </is>
      </c>
      <c r="I57" s="8" t="inlineStr">
        <is>
          <t>Not run</t>
        </is>
      </c>
      <c r="J57" s="9" t="n"/>
      <c r="K57" s="8" t="n"/>
      <c r="L57" s="8" t="n"/>
      <c r="M57" s="8" t="n"/>
    </row>
    <row r="58">
      <c r="A58" s="10" t="inlineStr">
        <is>
          <t>GEN-04</t>
        </is>
      </c>
      <c r="B58" s="10" t="inlineStr">
        <is>
          <t>General</t>
        </is>
      </c>
      <c r="C58" s="10" t="inlineStr">
        <is>
          <t>All web apps</t>
        </is>
      </c>
      <c r="D58" s="10" t="inlineStr">
        <is>
          <t>Any</t>
        </is>
      </c>
      <c r="E58" s="11" t="inlineStr">
        <is>
          <t>Console errors &amp; loading states</t>
        </is>
      </c>
      <c r="F58" s="10" t="inlineStr">
        <is>
          <t>Keep DevTools Console open; throttle network to 'Slow 4G' on main pages.</t>
        </is>
      </c>
      <c r="G58" s="10" t="inlineStr">
        <is>
          <t>No red console errors; loading skeletons instead of blank/jumping pages.</t>
        </is>
      </c>
      <c r="H58" s="10" t="inlineStr">
        <is>
          <t>P2</t>
        </is>
      </c>
      <c r="I58" s="8" t="inlineStr">
        <is>
          <t>Not run</t>
        </is>
      </c>
      <c r="J58" s="9" t="n"/>
      <c r="K58" s="8" t="n"/>
      <c r="L58" s="8" t="n"/>
      <c r="M58" s="8" t="n"/>
    </row>
    <row r="59">
      <c r="A59" s="10" t="inlineStr">
        <is>
          <t>GEN-05</t>
        </is>
      </c>
      <c r="B59" s="10" t="inlineStr">
        <is>
          <t>General</t>
        </is>
      </c>
      <c r="C59" s="10" t="inlineStr">
        <is>
          <t>Website</t>
        </is>
      </c>
      <c r="D59" s="10" t="inlineStr">
        <is>
          <t>Any</t>
        </is>
      </c>
      <c r="E59" s="11" t="inlineStr">
        <is>
          <t>Emails</t>
        </is>
      </c>
      <c r="F59" s="10" t="inlineStr">
        <is>
          <t>Note every email you receive during testing (signup, reset, booking, registration, feedback).</t>
        </is>
      </c>
      <c r="G59" s="10" t="inlineStr">
        <is>
          <t>Emails arrive, look correct, links work and point to the right environment.</t>
        </is>
      </c>
      <c r="H59" s="10" t="inlineStr">
        <is>
          <t>P2</t>
        </is>
      </c>
      <c r="I59" s="8" t="inlineStr">
        <is>
          <t>Not run</t>
        </is>
      </c>
      <c r="J59" s="9" t="n"/>
      <c r="K59" s="8" t="n"/>
      <c r="L59" s="8" t="n"/>
      <c r="M59" s="8" t="n"/>
    </row>
  </sheetData>
  <autoFilter ref="A1:M59"/>
  <conditionalFormatting sqref="I3:I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I2:I109" showDropDown="0" showInputMessage="0" showErrorMessage="0" allowBlank="1" type="list">
      <formula1>"Not run,Pass,Fail,Blocked,N/A"</formula1>
    </dataValidation>
    <dataValidation sqref="M2:M109" showDropDown="0" showInputMessage="0" showErrorMessage="0" allowBlank="1" type="list">
      <formula1>"Yes,No,Maybe"</formula1>
    </dataValidation>
    <dataValidation sqref="H2:H109" showDropDown="0" showInputMessage="0" showErrorMessage="0" allowBlank="1" type="list">
      <formula1>"P1,P2,P3"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2" t="inlineStr">
        <is>
          <t>Test progress summary</t>
        </is>
      </c>
    </row>
    <row r="2">
      <c r="A2" s="13" t="inlineStr">
        <is>
          <t>Updates automatically from the Status column in 'Checklist'.</t>
        </is>
      </c>
    </row>
    <row r="4">
      <c r="A4" s="14" t="inlineStr">
        <is>
          <t>Module</t>
        </is>
      </c>
      <c r="B4" s="14" t="inlineStr">
        <is>
          <t>Total</t>
        </is>
      </c>
      <c r="C4" s="14" t="inlineStr">
        <is>
          <t>Pass</t>
        </is>
      </c>
      <c r="D4" s="14" t="inlineStr">
        <is>
          <t>Fail</t>
        </is>
      </c>
      <c r="E4" s="14" t="inlineStr">
        <is>
          <t>Blocked</t>
        </is>
      </c>
      <c r="F4" s="14" t="inlineStr">
        <is>
          <t>Not run</t>
        </is>
      </c>
      <c r="G4" s="14" t="inlineStr">
        <is>
          <t>N/A</t>
        </is>
      </c>
      <c r="H4" s="14" t="inlineStr">
        <is>
          <t>% Passed (of run)</t>
        </is>
      </c>
    </row>
    <row r="5">
      <c r="A5" s="15" t="inlineStr">
        <is>
          <t>End-to-end flows</t>
        </is>
      </c>
      <c r="B5" s="15">
        <f>COUNTIF(Checklist!$B$3:$B$109,A5)</f>
        <v/>
      </c>
      <c r="C5" s="15">
        <f>COUNTIFS(Checklist!$B$3:$B$109,$A5,Checklist!$I$3:$I$109,"Pass")</f>
        <v/>
      </c>
      <c r="D5" s="15">
        <f>COUNTIFS(Checklist!$B$3:$B$109,$A5,Checklist!$I$3:$I$109,"Fail")</f>
        <v/>
      </c>
      <c r="E5" s="15">
        <f>COUNTIFS(Checklist!$B$3:$B$109,$A5,Checklist!$I$3:$I$109,"Blocked")</f>
        <v/>
      </c>
      <c r="F5" s="15">
        <f>COUNTIFS(Checklist!$B$3:$B$109,$A5,Checklist!$I$3:$I$109,"Not run")</f>
        <v/>
      </c>
      <c r="G5" s="15">
        <f>COUNTIFS(Checklist!$B$3:$B$109,$A5,Checklist!$I$3:$I$109,"N/A")</f>
        <v/>
      </c>
      <c r="H5" s="16">
        <f>IFERROR(C5/(C5+D5+E5),0)</f>
        <v/>
      </c>
    </row>
    <row r="6">
      <c r="A6" s="15" t="inlineStr">
        <is>
          <t>Auth</t>
        </is>
      </c>
      <c r="B6" s="15">
        <f>COUNTIF(Checklist!$B$3:$B$109,A6)</f>
        <v/>
      </c>
      <c r="C6" s="15">
        <f>COUNTIFS(Checklist!$B$3:$B$109,$A6,Checklist!$I$3:$I$109,"Pass")</f>
        <v/>
      </c>
      <c r="D6" s="15">
        <f>COUNTIFS(Checklist!$B$3:$B$109,$A6,Checklist!$I$3:$I$109,"Fail")</f>
        <v/>
      </c>
      <c r="E6" s="15">
        <f>COUNTIFS(Checklist!$B$3:$B$109,$A6,Checklist!$I$3:$I$109,"Blocked")</f>
        <v/>
      </c>
      <c r="F6" s="15">
        <f>COUNTIFS(Checklist!$B$3:$B$109,$A6,Checklist!$I$3:$I$109,"Not run")</f>
        <v/>
      </c>
      <c r="G6" s="15">
        <f>COUNTIFS(Checklist!$B$3:$B$109,$A6,Checklist!$I$3:$I$109,"N/A")</f>
        <v/>
      </c>
      <c r="H6" s="16">
        <f>IFERROR(C6/(C6+D6+E6),0)</f>
        <v/>
      </c>
    </row>
    <row r="7">
      <c r="A7" s="15" t="inlineStr">
        <is>
          <t>Public website</t>
        </is>
      </c>
      <c r="B7" s="15">
        <f>COUNTIF(Checklist!$B$3:$B$109,A7)</f>
        <v/>
      </c>
      <c r="C7" s="15">
        <f>COUNTIFS(Checklist!$B$3:$B$109,$A7,Checklist!$I$3:$I$109,"Pass")</f>
        <v/>
      </c>
      <c r="D7" s="15">
        <f>COUNTIFS(Checklist!$B$3:$B$109,$A7,Checklist!$I$3:$I$109,"Fail")</f>
        <v/>
      </c>
      <c r="E7" s="15">
        <f>COUNTIFS(Checklist!$B$3:$B$109,$A7,Checklist!$I$3:$I$109,"Blocked")</f>
        <v/>
      </c>
      <c r="F7" s="15">
        <f>COUNTIFS(Checklist!$B$3:$B$109,$A7,Checklist!$I$3:$I$109,"Not run")</f>
        <v/>
      </c>
      <c r="G7" s="15">
        <f>COUNTIFS(Checklist!$B$3:$B$109,$A7,Checklist!$I$3:$I$109,"N/A")</f>
        <v/>
      </c>
      <c r="H7" s="16">
        <f>IFERROR(C7/(C7+D7+E7),0)</f>
        <v/>
      </c>
    </row>
    <row r="8">
      <c r="A8" s="15" t="inlineStr">
        <is>
          <t>Cart &amp; checkout</t>
        </is>
      </c>
      <c r="B8" s="15">
        <f>COUNTIF(Checklist!$B$3:$B$109,A8)</f>
        <v/>
      </c>
      <c r="C8" s="15">
        <f>COUNTIFS(Checklist!$B$3:$B$109,$A8,Checklist!$I$3:$I$109,"Pass")</f>
        <v/>
      </c>
      <c r="D8" s="15">
        <f>COUNTIFS(Checklist!$B$3:$B$109,$A8,Checklist!$I$3:$I$109,"Fail")</f>
        <v/>
      </c>
      <c r="E8" s="15">
        <f>COUNTIFS(Checklist!$B$3:$B$109,$A8,Checklist!$I$3:$I$109,"Blocked")</f>
        <v/>
      </c>
      <c r="F8" s="15">
        <f>COUNTIFS(Checklist!$B$3:$B$109,$A8,Checklist!$I$3:$I$109,"Not run")</f>
        <v/>
      </c>
      <c r="G8" s="15">
        <f>COUNTIFS(Checklist!$B$3:$B$109,$A8,Checklist!$I$3:$I$109,"N/A")</f>
        <v/>
      </c>
      <c r="H8" s="16">
        <f>IFERROR(C8/(C8+D8+E8),0)</f>
        <v/>
      </c>
    </row>
    <row r="9">
      <c r="A9" s="15" t="inlineStr">
        <is>
          <t>Customer account</t>
        </is>
      </c>
      <c r="B9" s="15">
        <f>COUNTIF(Checklist!$B$3:$B$109,A9)</f>
        <v/>
      </c>
      <c r="C9" s="15">
        <f>COUNTIFS(Checklist!$B$3:$B$109,$A9,Checklist!$I$3:$I$109,"Pass")</f>
        <v/>
      </c>
      <c r="D9" s="15">
        <f>COUNTIFS(Checklist!$B$3:$B$109,$A9,Checklist!$I$3:$I$109,"Fail")</f>
        <v/>
      </c>
      <c r="E9" s="15">
        <f>COUNTIFS(Checklist!$B$3:$B$109,$A9,Checklist!$I$3:$I$109,"Blocked")</f>
        <v/>
      </c>
      <c r="F9" s="15">
        <f>COUNTIFS(Checklist!$B$3:$B$109,$A9,Checklist!$I$3:$I$109,"Not run")</f>
        <v/>
      </c>
      <c r="G9" s="15">
        <f>COUNTIFS(Checklist!$B$3:$B$109,$A9,Checklist!$I$3:$I$109,"N/A")</f>
        <v/>
      </c>
      <c r="H9" s="16">
        <f>IFERROR(C9/(C9+D9+E9),0)</f>
        <v/>
      </c>
    </row>
    <row r="10">
      <c r="A10" s="15" t="inlineStr">
        <is>
          <t>Vendor portal</t>
        </is>
      </c>
      <c r="B10" s="15">
        <f>COUNTIF(Checklist!$B$3:$B$109,A10)</f>
        <v/>
      </c>
      <c r="C10" s="15">
        <f>COUNTIFS(Checklist!$B$3:$B$109,$A10,Checklist!$I$3:$I$109,"Pass")</f>
        <v/>
      </c>
      <c r="D10" s="15">
        <f>COUNTIFS(Checklist!$B$3:$B$109,$A10,Checklist!$I$3:$I$109,"Fail")</f>
        <v/>
      </c>
      <c r="E10" s="15">
        <f>COUNTIFS(Checklist!$B$3:$B$109,$A10,Checklist!$I$3:$I$109,"Blocked")</f>
        <v/>
      </c>
      <c r="F10" s="15">
        <f>COUNTIFS(Checklist!$B$3:$B$109,$A10,Checklist!$I$3:$I$109,"Not run")</f>
        <v/>
      </c>
      <c r="G10" s="15">
        <f>COUNTIFS(Checklist!$B$3:$B$109,$A10,Checklist!$I$3:$I$109,"N/A")</f>
        <v/>
      </c>
      <c r="H10" s="16">
        <f>IFERROR(C10/(C10+D10+E10),0)</f>
        <v/>
      </c>
    </row>
    <row r="11">
      <c r="A11" s="15" t="inlineStr">
        <is>
          <t>RM portal</t>
        </is>
      </c>
      <c r="B11" s="15">
        <f>COUNTIF(Checklist!$B$3:$B$109,A11)</f>
        <v/>
      </c>
      <c r="C11" s="15">
        <f>COUNTIFS(Checklist!$B$3:$B$109,$A11,Checklist!$I$3:$I$109,"Pass")</f>
        <v/>
      </c>
      <c r="D11" s="15">
        <f>COUNTIFS(Checklist!$B$3:$B$109,$A11,Checklist!$I$3:$I$109,"Fail")</f>
        <v/>
      </c>
      <c r="E11" s="15">
        <f>COUNTIFS(Checklist!$B$3:$B$109,$A11,Checklist!$I$3:$I$109,"Blocked")</f>
        <v/>
      </c>
      <c r="F11" s="15">
        <f>COUNTIFS(Checklist!$B$3:$B$109,$A11,Checklist!$I$3:$I$109,"Not run")</f>
        <v/>
      </c>
      <c r="G11" s="15">
        <f>COUNTIFS(Checklist!$B$3:$B$109,$A11,Checklist!$I$3:$I$109,"N/A")</f>
        <v/>
      </c>
      <c r="H11" s="16">
        <f>IFERROR(C11/(C11+D11+E11),0)</f>
        <v/>
      </c>
    </row>
    <row r="12">
      <c r="A12" s="15" t="inlineStr">
        <is>
          <t>Admin panel</t>
        </is>
      </c>
      <c r="B12" s="15">
        <f>COUNTIF(Checklist!$B$3:$B$109,A12)</f>
        <v/>
      </c>
      <c r="C12" s="15">
        <f>COUNTIFS(Checklist!$B$3:$B$109,$A12,Checklist!$I$3:$I$109,"Pass")</f>
        <v/>
      </c>
      <c r="D12" s="15">
        <f>COUNTIFS(Checklist!$B$3:$B$109,$A12,Checklist!$I$3:$I$109,"Fail")</f>
        <v/>
      </c>
      <c r="E12" s="15">
        <f>COUNTIFS(Checklist!$B$3:$B$109,$A12,Checklist!$I$3:$I$109,"Blocked")</f>
        <v/>
      </c>
      <c r="F12" s="15">
        <f>COUNTIFS(Checklist!$B$3:$B$109,$A12,Checklist!$I$3:$I$109,"Not run")</f>
        <v/>
      </c>
      <c r="G12" s="15">
        <f>COUNTIFS(Checklist!$B$3:$B$109,$A12,Checklist!$I$3:$I$109,"N/A")</f>
        <v/>
      </c>
      <c r="H12" s="16">
        <f>IFERROR(C12/(C12+D12+E12),0)</f>
        <v/>
      </c>
    </row>
    <row r="13">
      <c r="A13" s="15" t="inlineStr">
        <is>
          <t>General</t>
        </is>
      </c>
      <c r="B13" s="15">
        <f>COUNTIF(Checklist!$B$3:$B$109,A13)</f>
        <v/>
      </c>
      <c r="C13" s="15">
        <f>COUNTIFS(Checklist!$B$3:$B$109,$A13,Checklist!$I$3:$I$109,"Pass")</f>
        <v/>
      </c>
      <c r="D13" s="15">
        <f>COUNTIFS(Checklist!$B$3:$B$109,$A13,Checklist!$I$3:$I$109,"Fail")</f>
        <v/>
      </c>
      <c r="E13" s="15">
        <f>COUNTIFS(Checklist!$B$3:$B$109,$A13,Checklist!$I$3:$I$109,"Blocked")</f>
        <v/>
      </c>
      <c r="F13" s="15">
        <f>COUNTIFS(Checklist!$B$3:$B$109,$A13,Checklist!$I$3:$I$109,"Not run")</f>
        <v/>
      </c>
      <c r="G13" s="15">
        <f>COUNTIFS(Checklist!$B$3:$B$109,$A13,Checklist!$I$3:$I$109,"N/A")</f>
        <v/>
      </c>
      <c r="H13" s="16">
        <f>IFERROR(C13/(C13+D13+E13),0)</f>
        <v/>
      </c>
    </row>
    <row r="14">
      <c r="A14" s="17" t="inlineStr">
        <is>
          <t>TOTAL</t>
        </is>
      </c>
      <c r="B14" s="17">
        <f>SUM(B5:B13)</f>
        <v/>
      </c>
      <c r="C14" s="17">
        <f>SUM(C5:C13)</f>
        <v/>
      </c>
      <c r="D14" s="17">
        <f>SUM(D5:D13)</f>
        <v/>
      </c>
      <c r="E14" s="17">
        <f>SUM(E5:E13)</f>
        <v/>
      </c>
      <c r="F14" s="17">
        <f>SUM(F5:F13)</f>
        <v/>
      </c>
      <c r="G14" s="17">
        <f>SUM(G5:G13)</f>
        <v/>
      </c>
      <c r="H14" s="18">
        <f>IFERROR(C14/(C14+D14+E14),0)</f>
        <v/>
      </c>
    </row>
    <row r="16">
      <c r="A16" s="2" t="inlineStr">
        <is>
          <t>P1 still failing or blocked</t>
        </is>
      </c>
      <c r="B16" s="19">
        <f>COUNTIFS(Checklist!$H$3:$H$109,"P1",Checklist!$I$3:$I$109,"Fail")+COUNTIFS(Checklist!$H$3:$H$109,"P1",Checklist!$I$3:$I$109,"Blocked")</f>
        <v/>
      </c>
    </row>
    <row r="17">
      <c r="A17" s="13" t="inlineStr">
        <is>
          <t>Release rule of thumb: this number must be 0.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5" customWidth="1" min="4" max="4"/>
    <col width="30" customWidth="1" min="5" max="5"/>
    <col width="30" customWidth="1" min="6" max="6"/>
    <col width="11" customWidth="1" min="7" max="7"/>
    <col width="28" customWidth="1" min="8" max="8"/>
    <col width="24" customWidth="1" min="9" max="9"/>
    <col width="18" customWidth="1" min="10" max="10"/>
    <col width="26" customWidth="1" min="11" max="11"/>
    <col width="12" customWidth="1" min="12" max="12"/>
    <col width="12" customWidth="1" min="13" max="13"/>
    <col width="11" customWidth="1" min="15" max="15"/>
    <col width="55" customWidth="1" min="16" max="16"/>
  </cols>
  <sheetData>
    <row r="1">
      <c r="A1" s="4" t="inlineStr">
        <is>
          <t>Bug ID</t>
        </is>
      </c>
      <c r="B1" s="4" t="inlineStr">
        <is>
          <t>Test ID</t>
        </is>
      </c>
      <c r="C1" s="4" t="inlineStr">
        <is>
          <t>Title</t>
        </is>
      </c>
      <c r="D1" s="4" t="inlineStr">
        <is>
          <t>Steps to reproduce</t>
        </is>
      </c>
      <c r="E1" s="4" t="inlineStr">
        <is>
          <t>Expected</t>
        </is>
      </c>
      <c r="F1" s="4" t="inlineStr">
        <is>
          <t>Actual</t>
        </is>
      </c>
      <c r="G1" s="4" t="inlineStr">
        <is>
          <t>Severity</t>
        </is>
      </c>
      <c r="H1" s="4" t="inlineStr">
        <is>
          <t>App / URL</t>
        </is>
      </c>
      <c r="I1" s="4" t="inlineStr">
        <is>
          <t>Account used</t>
        </is>
      </c>
      <c r="J1" s="4" t="inlineStr">
        <is>
          <t>Browser / device</t>
        </is>
      </c>
      <c r="K1" s="4" t="inlineStr">
        <is>
          <t>Screenshot / video link</t>
        </is>
      </c>
      <c r="L1" s="4" t="inlineStr">
        <is>
          <t>Reported on</t>
        </is>
      </c>
      <c r="M1" s="4" t="inlineStr">
        <is>
          <t>Status</t>
        </is>
      </c>
      <c r="O1" s="2" t="inlineStr">
        <is>
          <t>Severity guide</t>
        </is>
      </c>
    </row>
    <row r="2">
      <c r="A2" s="5" t="inlineStr">
        <is>
          <t>BUG-001</t>
        </is>
      </c>
      <c r="B2" s="5" t="inlineStr">
        <is>
          <t>E2E-05</t>
        </is>
      </c>
      <c r="C2" s="5" t="inlineStr">
        <is>
          <t>Coupon total wrong in Razorpay popup</t>
        </is>
      </c>
      <c r="D2" s="5" t="inlineStr">
        <is>
          <t>1. Log in as customer
2. Add 2 services (₹500 each)
3. Apply SAVE10
4. Checkout</t>
        </is>
      </c>
      <c r="E2" s="5" t="inlineStr">
        <is>
          <t>Popup shows ₹900 + fee</t>
        </is>
      </c>
      <c r="F2" s="5" t="inlineStr">
        <is>
          <t>Popup shows ₹1000 + fee</t>
        </is>
      </c>
      <c r="G2" s="5" t="inlineStr">
        <is>
          <t>High</t>
        </is>
      </c>
      <c r="H2" s="5" t="inlineStr">
        <is>
          <t>Website /checkout</t>
        </is>
      </c>
      <c r="I2" s="5" t="inlineStr">
        <is>
          <t>customer test account</t>
        </is>
      </c>
      <c r="J2" s="5" t="inlineStr">
        <is>
          <t>Chrome 128 / Windows</t>
        </is>
      </c>
      <c r="K2" s="5" t="inlineStr">
        <is>
          <t>(paste link)</t>
        </is>
      </c>
      <c r="L2" s="5" t="inlineStr">
        <is>
          <t>2026-09-22</t>
        </is>
      </c>
      <c r="M2" s="5" t="inlineStr">
        <is>
          <t>Open</t>
        </is>
      </c>
      <c r="O2" s="2" t="inlineStr">
        <is>
          <t>Critical</t>
        </is>
      </c>
      <c r="P2" s="20" t="inlineStr">
        <is>
          <t>Payment, booking or login broken; data lost or wrong money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O3" s="2" t="inlineStr">
        <is>
          <t>High</t>
        </is>
      </c>
      <c r="P3" s="20" t="inlineStr">
        <is>
          <t>Main flow broken, no workaround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O4" s="2" t="inlineStr">
        <is>
          <t>Medium</t>
        </is>
      </c>
      <c r="P4" s="20" t="inlineStr">
        <is>
          <t>Works but wrong/confusing; workaround exists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O5" s="2" t="inlineStr">
        <is>
          <t>Low</t>
        </is>
      </c>
      <c r="P5" s="20" t="inlineStr">
        <is>
          <t>Cosmetic: text, spacing, colours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</row>
  </sheetData>
  <dataValidations count="2">
    <dataValidation sqref="G2:G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"Open,Fixed – retest,Closed,Won't fix,Not a bug"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2026-09-21T14:24:32Z</dcterms:created>
  <dcterms:modified xsi:type="dcterms:W3CDTF">2026-09-21T14:24:32Z</dcterms:modified>
</cp:coreProperties>
</file>